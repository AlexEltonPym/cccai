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02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adog/cccai/"/>
    </mc:Choice>
  </mc:AlternateContent>
  <bookViews>
    <workbookView xWindow="380" yWindow="460" windowWidth="28040" windowHeight="17040" activeTab="1" xr2:uid="{00000000-000D-0000-FFFF-FFFF00000000}"/>
  </bookViews>
  <sheets>
    <sheet name="Creative Coding Challenges" sheetId="1" r:id="rId1"/>
    <sheet name="VLOOKUPS" sheetId="2" r:id="rId2"/>
  </sheets>
  <calcPr calcId="171027"/>
</workbook>
</file>

<file path=xl/calcChain.xml><?xml version="1.0" encoding="utf-8"?>
<calcChain xmlns="http://schemas.openxmlformats.org/spreadsheetml/2006/main">
  <c r="H2" i="2" l="1"/>
  <c r="H3" i="2"/>
  <c r="H1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1" i="2"/>
  <c r="X25" i="1" l="1"/>
  <c r="X37" i="1"/>
  <c r="X5" i="1"/>
  <c r="V5" i="1"/>
  <c r="V10" i="1"/>
  <c r="V20" i="1"/>
  <c r="V24" i="1"/>
  <c r="V29" i="1"/>
  <c r="V33" i="1"/>
  <c r="V38" i="1"/>
  <c r="V41" i="1"/>
  <c r="V42" i="1"/>
  <c r="V44" i="1"/>
  <c r="V53" i="1"/>
  <c r="V54" i="1"/>
  <c r="V60" i="1"/>
  <c r="V70" i="1"/>
  <c r="V73" i="1"/>
  <c r="V78" i="1"/>
  <c r="V2" i="1"/>
  <c r="V12" i="1"/>
  <c r="V4" i="1"/>
  <c r="V75" i="1"/>
  <c r="V56" i="1"/>
  <c r="V8" i="1"/>
  <c r="V9" i="1"/>
  <c r="V36" i="1"/>
  <c r="V13" i="1"/>
  <c r="V14" i="1"/>
  <c r="V15" i="1"/>
  <c r="V16" i="1"/>
  <c r="V17" i="1"/>
  <c r="V45" i="1"/>
  <c r="V76" i="1"/>
  <c r="V49" i="1"/>
  <c r="V61" i="1"/>
  <c r="V40" i="1"/>
  <c r="V72" i="1"/>
  <c r="V28" i="1"/>
  <c r="V51" i="1"/>
  <c r="V52" i="1"/>
  <c r="V31" i="1"/>
  <c r="V32" i="1"/>
  <c r="V37" i="1"/>
  <c r="V39" i="1"/>
  <c r="V43" i="1"/>
  <c r="V18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2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3" i="1"/>
  <c r="B4" i="1"/>
  <c r="B5" i="1"/>
  <c r="B6" i="1"/>
  <c r="B7" i="1"/>
  <c r="B8" i="1"/>
  <c r="B9" i="1"/>
  <c r="B10" i="1"/>
  <c r="B11" i="1"/>
  <c r="B2" i="1"/>
  <c r="B80" i="1" l="1"/>
  <c r="F80" i="1"/>
  <c r="J80" i="1"/>
  <c r="N80" i="1"/>
  <c r="R80" i="1"/>
  <c r="D80" i="1"/>
  <c r="H80" i="1"/>
  <c r="L80" i="1"/>
  <c r="P80" i="1"/>
  <c r="T80" i="1"/>
  <c r="V79" i="1"/>
  <c r="V71" i="1"/>
  <c r="V67" i="1"/>
  <c r="V63" i="1"/>
  <c r="V59" i="1"/>
  <c r="V55" i="1"/>
  <c r="V47" i="1"/>
  <c r="V35" i="1"/>
  <c r="V27" i="1"/>
  <c r="V23" i="1"/>
  <c r="V19" i="1"/>
  <c r="V11" i="1"/>
  <c r="V7" i="1"/>
  <c r="V3" i="1"/>
  <c r="X2" i="1"/>
  <c r="X76" i="1"/>
  <c r="X72" i="1"/>
  <c r="X68" i="1"/>
  <c r="X64" i="1"/>
  <c r="X60" i="1"/>
  <c r="X56" i="1"/>
  <c r="X52" i="1"/>
  <c r="X48" i="1"/>
  <c r="X44" i="1"/>
  <c r="X40" i="1"/>
  <c r="X36" i="1"/>
  <c r="X32" i="1"/>
  <c r="X28" i="1"/>
  <c r="X24" i="1"/>
  <c r="X20" i="1"/>
  <c r="X16" i="1"/>
  <c r="X12" i="1"/>
  <c r="X8" i="1"/>
  <c r="X4" i="1"/>
  <c r="V74" i="1"/>
  <c r="V66" i="1"/>
  <c r="V62" i="1"/>
  <c r="V58" i="1"/>
  <c r="V50" i="1"/>
  <c r="V46" i="1"/>
  <c r="V34" i="1"/>
  <c r="V30" i="1"/>
  <c r="V26" i="1"/>
  <c r="V22" i="1"/>
  <c r="V6" i="1"/>
  <c r="X79" i="1"/>
  <c r="X75" i="1"/>
  <c r="X71" i="1"/>
  <c r="X67" i="1"/>
  <c r="X63" i="1"/>
  <c r="X59" i="1"/>
  <c r="X55" i="1"/>
  <c r="X51" i="1"/>
  <c r="X47" i="1"/>
  <c r="X43" i="1"/>
  <c r="X39" i="1"/>
  <c r="X35" i="1"/>
  <c r="X31" i="1"/>
  <c r="X27" i="1"/>
  <c r="X23" i="1"/>
  <c r="X19" i="1"/>
  <c r="X15" i="1"/>
  <c r="X11" i="1"/>
  <c r="X7" i="1"/>
  <c r="X3" i="1"/>
  <c r="V77" i="1"/>
  <c r="V69" i="1"/>
  <c r="V65" i="1"/>
  <c r="V57" i="1"/>
  <c r="V25" i="1"/>
  <c r="V21" i="1"/>
  <c r="X78" i="1"/>
  <c r="X74" i="1"/>
  <c r="X70" i="1"/>
  <c r="X66" i="1"/>
  <c r="X62" i="1"/>
  <c r="X58" i="1"/>
  <c r="X54" i="1"/>
  <c r="X50" i="1"/>
  <c r="X46" i="1"/>
  <c r="X42" i="1"/>
  <c r="X38" i="1"/>
  <c r="X34" i="1"/>
  <c r="X30" i="1"/>
  <c r="X26" i="1"/>
  <c r="X22" i="1"/>
  <c r="X18" i="1"/>
  <c r="X14" i="1"/>
  <c r="X10" i="1"/>
  <c r="X6" i="1"/>
  <c r="V68" i="1"/>
  <c r="V64" i="1"/>
  <c r="V48" i="1"/>
  <c r="X77" i="1"/>
  <c r="X73" i="1"/>
  <c r="X69" i="1"/>
  <c r="X65" i="1"/>
  <c r="X61" i="1"/>
  <c r="X57" i="1"/>
  <c r="X53" i="1"/>
  <c r="X49" i="1"/>
  <c r="X45" i="1"/>
  <c r="X41" i="1"/>
  <c r="X33" i="1"/>
  <c r="X29" i="1"/>
  <c r="X21" i="1"/>
  <c r="X17" i="1"/>
  <c r="X13" i="1"/>
  <c r="X9" i="1"/>
</calcChain>
</file>

<file path=xl/sharedStrings.xml><?xml version="1.0" encoding="utf-8"?>
<sst xmlns="http://schemas.openxmlformats.org/spreadsheetml/2006/main" count="1078" uniqueCount="132">
  <si>
    <t>Timestamp</t>
  </si>
  <si>
    <t xml:space="preserve"> [I enjoyed this challenge.]</t>
  </si>
  <si>
    <t xml:space="preserve"> [I felt my skills matched the difficulty of this task.]</t>
  </si>
  <si>
    <t xml:space="preserve"> [I felt underprepared for this challenge.]</t>
  </si>
  <si>
    <t xml:space="preserve"> [Time appeared to pass quicker than normal while I was working on this challenge.]</t>
  </si>
  <si>
    <t xml:space="preserve"> [I felt self-conscious programming with other students around me.]</t>
  </si>
  <si>
    <t xml:space="preserve"> [In order to solve this challenge I needed to learn new concepts.]</t>
  </si>
  <si>
    <t xml:space="preserve"> [Parts of this challenge were unexpected to me.]</t>
  </si>
  <si>
    <t xml:space="preserve"> [I feel that I learnt something working on this challenge.]</t>
  </si>
  <si>
    <t xml:space="preserve"> [Working on more challenges like this one will make me a better programmer.]</t>
  </si>
  <si>
    <t xml:space="preserve"> [I‚Äôm motivated to try more challenges like this one.]</t>
  </si>
  <si>
    <t>Unique ID (do not change)</t>
  </si>
  <si>
    <t>Challenge (do not change)</t>
  </si>
  <si>
    <t>conditionals</t>
  </si>
  <si>
    <t>Strongly Agree</t>
  </si>
  <si>
    <t>Disagree</t>
  </si>
  <si>
    <t>Neutral</t>
  </si>
  <si>
    <t>triangle</t>
  </si>
  <si>
    <t>recursive</t>
  </si>
  <si>
    <t>2018/09/07 10:25:39 AM GMT+10</t>
  </si>
  <si>
    <t>Agree</t>
  </si>
  <si>
    <t>240e1ce1</t>
  </si>
  <si>
    <t>2018/09/07 10:25:59 AM GMT+10</t>
  </si>
  <si>
    <t>Strongly Disagree</t>
  </si>
  <si>
    <t>d49c6fe6</t>
  </si>
  <si>
    <t>2018/09/07 10:34:06 AM GMT+10</t>
  </si>
  <si>
    <t>5c82590a</t>
  </si>
  <si>
    <t>2018/09/07 10:36:41 AM GMT+10</t>
  </si>
  <si>
    <t>e40bd564</t>
  </si>
  <si>
    <t>2018/09/07 10:38:55 AM GMT+10</t>
  </si>
  <si>
    <t>5dbb1859</t>
  </si>
  <si>
    <t>2018/09/07 10:39:31 AM GMT+10</t>
  </si>
  <si>
    <t>2018/09/07 10:42:41 AM GMT+10</t>
  </si>
  <si>
    <t>4ae49d30</t>
  </si>
  <si>
    <t>2018/09/07 10:47:25 AM GMT+10</t>
  </si>
  <si>
    <t>dce46ec2</t>
  </si>
  <si>
    <t>2018/09/07 10:47:46 AM GMT+10</t>
  </si>
  <si>
    <t>29e32edb</t>
  </si>
  <si>
    <t>2018/09/07 10:48:02 AM GMT+10</t>
  </si>
  <si>
    <t>c53450b4</t>
  </si>
  <si>
    <t>2018/09/07 10:49:14 AM GMT+10</t>
  </si>
  <si>
    <t>2018/09/07 10:52:35 AM GMT+10</t>
  </si>
  <si>
    <t>c575c784</t>
  </si>
  <si>
    <t>2018/09/07 10:52:42 AM GMT+10</t>
  </si>
  <si>
    <t>6fad3995</t>
  </si>
  <si>
    <t>2018/09/07 10:52:54 AM GMT+10</t>
  </si>
  <si>
    <t>22997df9</t>
  </si>
  <si>
    <t>2018/09/07 10:58:13 AM GMT+10</t>
  </si>
  <si>
    <t>68f7d8d8</t>
  </si>
  <si>
    <t>2018/09/07 10:58:43 AM GMT+10</t>
  </si>
  <si>
    <t>778daf92</t>
  </si>
  <si>
    <t>2018/09/07 10:58:58 AM GMT+10</t>
  </si>
  <si>
    <t>2018/09/07 10:59:18 AM GMT+10</t>
  </si>
  <si>
    <t>41ba062d</t>
  </si>
  <si>
    <t>2018/09/07 11:00:30 AM GMT+10</t>
  </si>
  <si>
    <t>2119d084</t>
  </si>
  <si>
    <t>2018/09/07 11:01:08 AM GMT+10</t>
  </si>
  <si>
    <t>c5751c84</t>
  </si>
  <si>
    <t>2018/09/07 11:01:09 AM GMT+10</t>
  </si>
  <si>
    <t>434ea80e</t>
  </si>
  <si>
    <t>2018/09/07 11:01:26 AM GMT+10</t>
  </si>
  <si>
    <t>2a020dc1</t>
  </si>
  <si>
    <t>2018/09/07 11:03:04 AM GMT+10</t>
  </si>
  <si>
    <t>3c2e77ba</t>
  </si>
  <si>
    <t>2018/09/07 11:06:03 AM GMT+10</t>
  </si>
  <si>
    <t>2018/09/07 11:06:05 AM GMT+10</t>
  </si>
  <si>
    <t>5c82d8eb</t>
  </si>
  <si>
    <t>2018/09/07 11:07:59 AM GMT+10</t>
  </si>
  <si>
    <t>080f9c91</t>
  </si>
  <si>
    <t>2018/09/07 11:08:39 AM GMT+10</t>
  </si>
  <si>
    <t>0526363b</t>
  </si>
  <si>
    <t>2018/09/07 11:08:54 AM GMT+10</t>
  </si>
  <si>
    <t>c6591738</t>
  </si>
  <si>
    <t>2018/09/07 11:10:41 AM GMT+10</t>
  </si>
  <si>
    <t>62a23c68</t>
  </si>
  <si>
    <t>2018/09/07 11:10:42 AM GMT+10</t>
  </si>
  <si>
    <t>bebdbac6</t>
  </si>
  <si>
    <t>2018/09/07 11:11:36 AM GMT+10</t>
  </si>
  <si>
    <t>9862bf78</t>
  </si>
  <si>
    <t>2018/09/07 11:13:20 AM GMT+10</t>
  </si>
  <si>
    <t>f1da37a2</t>
  </si>
  <si>
    <t>2018/09/07 11:15:00 AM GMT+10</t>
  </si>
  <si>
    <t>2018/09/07 11:15:03 AM GMT+10</t>
  </si>
  <si>
    <t>2018/09/07 11:20:47 AM GMT+10</t>
  </si>
  <si>
    <t>2018/09/07 11:22:01 AM GMT+10</t>
  </si>
  <si>
    <t>c972fe26</t>
  </si>
  <si>
    <t>2018/09/07 11:22:45 AM GMT+10</t>
  </si>
  <si>
    <t>2018/09/07 11:23:23 AM GMT+10</t>
  </si>
  <si>
    <t>73c3a172</t>
  </si>
  <si>
    <t>2018/09/07 11:27:50 AM GMT+10</t>
  </si>
  <si>
    <t>2018/09/07 11:30:22 AM GMT+10</t>
  </si>
  <si>
    <t>2018/09/07 11:31:40 AM GMT+10</t>
  </si>
  <si>
    <t>2018/09/07 11:33:15 AM GMT+10</t>
  </si>
  <si>
    <t>7040a539</t>
  </si>
  <si>
    <t>2018/09/07 11:37:28 AM GMT+10</t>
  </si>
  <si>
    <t>2018/09/07 11:41:44 AM GMT+10</t>
  </si>
  <si>
    <t>2018/09/07 11:41:50 AM GMT+10</t>
  </si>
  <si>
    <t>2018/09/07 11:41:58 AM GMT+10</t>
  </si>
  <si>
    <t>2018/09/07 11:42:10 AM GMT+10</t>
  </si>
  <si>
    <t>2018/09/07 11:42:20 AM GMT+10</t>
  </si>
  <si>
    <t>2018/09/07 11:42:47 AM GMT+10</t>
  </si>
  <si>
    <t>2018/09/07 11:42:49 AM GMT+10</t>
  </si>
  <si>
    <t>2018/09/07 11:42:57 AM GMT+10</t>
  </si>
  <si>
    <t>2018/09/07 11:44:51 AM GMT+10</t>
  </si>
  <si>
    <t>2018/09/07 11:45:06 AM GMT+10</t>
  </si>
  <si>
    <t>2018/09/07 11:45:28 AM GMT+10</t>
  </si>
  <si>
    <t>2018/09/07 11:46:27 AM GMT+10</t>
  </si>
  <si>
    <t>2018/09/07 11:47:35 AM GMT+10</t>
  </si>
  <si>
    <t>2018/09/07 11:50:54 AM GMT+10</t>
  </si>
  <si>
    <t>2018/09/07 11:54:31 AM GMT+10</t>
  </si>
  <si>
    <t>2018/09/07 11:57:33 AM GMT+10</t>
  </si>
  <si>
    <t>2018/09/07 12:01:37 PM GMT+10</t>
  </si>
  <si>
    <t>2018/09/07 12:08:54 PM GMT+10</t>
  </si>
  <si>
    <t>2018/09/07 12:23:48 PM GMT+10</t>
  </si>
  <si>
    <t>2018/09/07 12:24:42 PM GMT+10</t>
  </si>
  <si>
    <t>2018/09/07 12:35:09 PM GMT+10</t>
  </si>
  <si>
    <t>2018/09/07 12:35:38 PM GMT+10</t>
  </si>
  <si>
    <t>2018/09/07 12:35:44 PM GMT+10</t>
  </si>
  <si>
    <t>2018/09/07 12:37:18 PM GMT+10</t>
  </si>
  <si>
    <t>2018/09/07 12:37:55 PM GMT+10</t>
  </si>
  <si>
    <t>2018/09/07 12:52:22 PM GMT+10</t>
  </si>
  <si>
    <t>2018/09/07 12:55:25 PM GMT+10</t>
  </si>
  <si>
    <t>2018/09/07 12:55:31 PM GMT+10</t>
  </si>
  <si>
    <t>2018/09/07 12:58:09 PM GMT+10</t>
  </si>
  <si>
    <t>2018/09/07 12:59:21 PM GMT+10</t>
  </si>
  <si>
    <t>2018/09/07 1:02:54 PM GMT+10</t>
  </si>
  <si>
    <t>2018/09/07 1:03:15 PM GMT+10</t>
  </si>
  <si>
    <t>2018/09/07 1:03:38 PM GMT+10</t>
  </si>
  <si>
    <t>2018/09/07 4:04:41 PM GMT+10</t>
  </si>
  <si>
    <t>u</t>
  </si>
  <si>
    <t>c</t>
  </si>
  <si>
    <t xml:space="preserve"> [I am motivated to try more challenges like this one.]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</si>
</sst>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80"/>
  <sheetViews>
    <sheetView topLeftCell="Q1" workbookViewId="0">
      <selection activeCell="V1" sqref="V1"/>
    </sheetView>
  </sheetViews>
  <sheetFormatPr baseColWidth="10" defaultRowHeight="16" x14ac:dyDescent="0.2"/>
  <cols>
    <col min="1" max="1" width="29.6640625" bestFit="1" customWidth="1"/>
    <col min="2" max="2" width="7.6640625" customWidth="1"/>
    <col min="3" max="3" width="23" bestFit="1" customWidth="1"/>
    <col min="4" max="4" width="7.5" customWidth="1"/>
    <col min="5" max="5" width="43.83203125" bestFit="1" customWidth="1"/>
    <col min="6" max="6" width="6.33203125" customWidth="1"/>
    <col min="7" max="7" width="35.1640625" bestFit="1" customWidth="1"/>
    <col min="8" max="8" width="8.6640625" customWidth="1"/>
    <col min="9" max="9" width="72" bestFit="1" customWidth="1"/>
    <col min="10" max="10" width="9" customWidth="1"/>
    <col min="11" max="11" width="58.33203125" bestFit="1" customWidth="1"/>
    <col min="12" max="12" width="7.83203125" customWidth="1"/>
    <col min="13" max="13" width="55.83203125" bestFit="1" customWidth="1"/>
    <col min="14" max="14" width="7.5" customWidth="1"/>
    <col min="15" max="15" width="42.5" bestFit="1" customWidth="1"/>
    <col min="16" max="16" width="11.5" customWidth="1"/>
    <col min="17" max="17" width="49.5" bestFit="1" customWidth="1"/>
    <col min="18" max="18" width="8.1640625" customWidth="1"/>
    <col min="19" max="19" width="68.5" bestFit="1" customWidth="1"/>
    <col min="20" max="20" width="7.1640625" customWidth="1"/>
    <col min="21" max="21" width="46.83203125" bestFit="1" customWidth="1"/>
    <col min="22" max="22" width="6.1640625" bestFit="1" customWidth="1"/>
    <col min="23" max="23" width="22.83203125" bestFit="1" customWidth="1"/>
    <col min="24" max="24" width="3.1640625" bestFit="1" customWidth="1"/>
    <col min="25" max="25" width="22.83203125" bestFit="1" customWidth="1"/>
  </cols>
  <sheetData>
    <row r="1" spans="1:25" x14ac:dyDescent="0.2">
      <c r="A1" t="s">
        <v>0</v>
      </c>
      <c r="B1" t="s">
        <v>1</v>
      </c>
      <c r="C1" t="s">
        <v>1</v>
      </c>
      <c r="D1" t="s">
        <v>2</v>
      </c>
      <c r="E1" t="s">
        <v>2</v>
      </c>
      <c r="F1" t="s">
        <v>3</v>
      </c>
      <c r="G1" t="s">
        <v>3</v>
      </c>
      <c r="H1" t="s">
        <v>4</v>
      </c>
      <c r="I1" t="s">
        <v>4</v>
      </c>
      <c r="J1" t="s">
        <v>5</v>
      </c>
      <c r="K1" t="s">
        <v>5</v>
      </c>
      <c r="L1" t="s">
        <v>6</v>
      </c>
      <c r="M1" t="s">
        <v>6</v>
      </c>
      <c r="N1" t="s">
        <v>7</v>
      </c>
      <c r="O1" t="s">
        <v>7</v>
      </c>
      <c r="P1" t="s">
        <v>8</v>
      </c>
      <c r="Q1" t="s">
        <v>8</v>
      </c>
      <c r="R1" t="s">
        <v>9</v>
      </c>
      <c r="S1" t="s">
        <v>9</v>
      </c>
      <c r="T1" t="s">
        <v>131</v>
      </c>
      <c r="U1" t="s">
        <v>10</v>
      </c>
      <c r="V1" t="s">
        <v>129</v>
      </c>
      <c r="W1" t="s">
        <v>11</v>
      </c>
      <c r="X1" t="s">
        <v>130</v>
      </c>
      <c r="Y1" t="s">
        <v>12</v>
      </c>
    </row>
    <row r="2" spans="1:25" x14ac:dyDescent="0.2">
      <c r="A2" t="s">
        <v>19</v>
      </c>
      <c r="B2">
        <f>VLOOKUP(C2,VLOOKUPS!$A$1:$B$5,2, FALSE)</f>
        <v>4</v>
      </c>
      <c r="C2" t="s">
        <v>20</v>
      </c>
      <c r="D2">
        <f>VLOOKUP(E2,VLOOKUPS!$A$1:$B$5,2, FALSE)</f>
        <v>4</v>
      </c>
      <c r="E2" t="s">
        <v>20</v>
      </c>
      <c r="F2">
        <f>VLOOKUP(G2,VLOOKUPS!$A$1:$B$5,2, FALSE)</f>
        <v>2</v>
      </c>
      <c r="G2" t="s">
        <v>15</v>
      </c>
      <c r="H2">
        <f>VLOOKUP(I2,VLOOKUPS!$A$1:$B$5,2, FALSE)</f>
        <v>2</v>
      </c>
      <c r="I2" t="s">
        <v>15</v>
      </c>
      <c r="J2">
        <f>VLOOKUP(K2,VLOOKUPS!$A$1:$B$5,2, FALSE)</f>
        <v>2</v>
      </c>
      <c r="K2" t="s">
        <v>15</v>
      </c>
      <c r="L2">
        <f>VLOOKUP(M2,VLOOKUPS!$A$1:$B$5,2, FALSE)</f>
        <v>4</v>
      </c>
      <c r="M2" t="s">
        <v>20</v>
      </c>
      <c r="N2">
        <f>VLOOKUP(O2,VLOOKUPS!$A$1:$B$5,2, FALSE)</f>
        <v>4</v>
      </c>
      <c r="O2" t="s">
        <v>20</v>
      </c>
      <c r="P2">
        <f>VLOOKUP(Q2,VLOOKUPS!$A$1:$B$5,2, FALSE)</f>
        <v>4</v>
      </c>
      <c r="Q2" t="s">
        <v>20</v>
      </c>
      <c r="R2">
        <f>VLOOKUP(S2,VLOOKUPS!$A$1:$B$5,2, FALSE)</f>
        <v>5</v>
      </c>
      <c r="S2" t="s">
        <v>14</v>
      </c>
      <c r="T2">
        <f>VLOOKUP(U2,VLOOKUPS!$A$1:$B$5,2, FALSE)</f>
        <v>4</v>
      </c>
      <c r="U2" t="s">
        <v>20</v>
      </c>
      <c r="V2">
        <f>VLOOKUP(W2,VLOOKUPS!$D$1:$E$31,2, FALSE)</f>
        <v>0</v>
      </c>
      <c r="W2" t="s">
        <v>21</v>
      </c>
      <c r="X2">
        <f>VLOOKUP(Y2,VLOOKUPS!$G$1:$H$3,2, FALSE)</f>
        <v>0</v>
      </c>
      <c r="Y2" t="s">
        <v>17</v>
      </c>
    </row>
    <row r="3" spans="1:25" x14ac:dyDescent="0.2">
      <c r="A3" t="s">
        <v>22</v>
      </c>
      <c r="B3">
        <f>VLOOKUP(C3,VLOOKUPS!$A$1:$B$5,2, FALSE)</f>
        <v>4</v>
      </c>
      <c r="C3" t="s">
        <v>20</v>
      </c>
      <c r="D3">
        <f>VLOOKUP(E3,VLOOKUPS!$A$1:$B$5,2, FALSE)</f>
        <v>4</v>
      </c>
      <c r="E3" t="s">
        <v>20</v>
      </c>
      <c r="F3">
        <f>VLOOKUP(G3,VLOOKUPS!$A$1:$B$5,2, FALSE)</f>
        <v>2</v>
      </c>
      <c r="G3" t="s">
        <v>15</v>
      </c>
      <c r="H3">
        <f>VLOOKUP(I3,VLOOKUPS!$A$1:$B$5,2, FALSE)</f>
        <v>4</v>
      </c>
      <c r="I3" t="s">
        <v>20</v>
      </c>
      <c r="J3">
        <f>VLOOKUP(K3,VLOOKUPS!$A$1:$B$5,2, FALSE)</f>
        <v>1</v>
      </c>
      <c r="K3" t="s">
        <v>23</v>
      </c>
      <c r="L3">
        <f>VLOOKUP(M3,VLOOKUPS!$A$1:$B$5,2, FALSE)</f>
        <v>1</v>
      </c>
      <c r="M3" t="s">
        <v>23</v>
      </c>
      <c r="N3">
        <f>VLOOKUP(O3,VLOOKUPS!$A$1:$B$5,2, FALSE)</f>
        <v>3</v>
      </c>
      <c r="O3" t="s">
        <v>16</v>
      </c>
      <c r="P3">
        <f>VLOOKUP(Q3,VLOOKUPS!$A$1:$B$5,2, FALSE)</f>
        <v>4</v>
      </c>
      <c r="Q3" t="s">
        <v>20</v>
      </c>
      <c r="R3">
        <f>VLOOKUP(S3,VLOOKUPS!$A$1:$B$5,2, FALSE)</f>
        <v>5</v>
      </c>
      <c r="S3" t="s">
        <v>14</v>
      </c>
      <c r="T3">
        <f>VLOOKUP(U3,VLOOKUPS!$A$1:$B$5,2, FALSE)</f>
        <v>5</v>
      </c>
      <c r="U3" t="s">
        <v>14</v>
      </c>
      <c r="V3">
        <f>VLOOKUP(W3,VLOOKUPS!$D$1:$E$31,2, FALSE)</f>
        <v>1</v>
      </c>
      <c r="W3" t="s">
        <v>24</v>
      </c>
      <c r="X3">
        <f>VLOOKUP(Y3,VLOOKUPS!$G$1:$H$3,2, FALSE)</f>
        <v>0</v>
      </c>
      <c r="Y3" t="s">
        <v>17</v>
      </c>
    </row>
    <row r="4" spans="1:25" x14ac:dyDescent="0.2">
      <c r="A4" t="s">
        <v>25</v>
      </c>
      <c r="B4">
        <f>VLOOKUP(C4,VLOOKUPS!$A$1:$B$5,2, FALSE)</f>
        <v>4</v>
      </c>
      <c r="C4" t="s">
        <v>20</v>
      </c>
      <c r="D4">
        <f>VLOOKUP(E4,VLOOKUPS!$A$1:$B$5,2, FALSE)</f>
        <v>4</v>
      </c>
      <c r="E4" t="s">
        <v>20</v>
      </c>
      <c r="F4">
        <f>VLOOKUP(G4,VLOOKUPS!$A$1:$B$5,2, FALSE)</f>
        <v>3</v>
      </c>
      <c r="G4" t="s">
        <v>16</v>
      </c>
      <c r="H4">
        <f>VLOOKUP(I4,VLOOKUPS!$A$1:$B$5,2, FALSE)</f>
        <v>3</v>
      </c>
      <c r="I4" t="s">
        <v>16</v>
      </c>
      <c r="J4">
        <f>VLOOKUP(K4,VLOOKUPS!$A$1:$B$5,2, FALSE)</f>
        <v>4</v>
      </c>
      <c r="K4" t="s">
        <v>20</v>
      </c>
      <c r="L4">
        <f>VLOOKUP(M4,VLOOKUPS!$A$1:$B$5,2, FALSE)</f>
        <v>2</v>
      </c>
      <c r="M4" t="s">
        <v>15</v>
      </c>
      <c r="N4">
        <f>VLOOKUP(O4,VLOOKUPS!$A$1:$B$5,2, FALSE)</f>
        <v>5</v>
      </c>
      <c r="O4" t="s">
        <v>14</v>
      </c>
      <c r="P4">
        <f>VLOOKUP(Q4,VLOOKUPS!$A$1:$B$5,2, FALSE)</f>
        <v>4</v>
      </c>
      <c r="Q4" t="s">
        <v>20</v>
      </c>
      <c r="R4">
        <f>VLOOKUP(S4,VLOOKUPS!$A$1:$B$5,2, FALSE)</f>
        <v>5</v>
      </c>
      <c r="S4" t="s">
        <v>14</v>
      </c>
      <c r="T4">
        <f>VLOOKUP(U4,VLOOKUPS!$A$1:$B$5,2, FALSE)</f>
        <v>4</v>
      </c>
      <c r="U4" t="s">
        <v>20</v>
      </c>
      <c r="V4">
        <f>VLOOKUP(W4,VLOOKUPS!$D$1:$E$31,2, FALSE)</f>
        <v>2</v>
      </c>
      <c r="W4" t="s">
        <v>26</v>
      </c>
      <c r="X4">
        <f>VLOOKUP(Y4,VLOOKUPS!$G$1:$H$3,2, FALSE)</f>
        <v>0</v>
      </c>
      <c r="Y4" t="s">
        <v>17</v>
      </c>
    </row>
    <row r="5" spans="1:25" x14ac:dyDescent="0.2">
      <c r="A5" t="s">
        <v>27</v>
      </c>
      <c r="B5">
        <f>VLOOKUP(C5,VLOOKUPS!$A$1:$B$5,2, FALSE)</f>
        <v>5</v>
      </c>
      <c r="C5" t="s">
        <v>14</v>
      </c>
      <c r="D5">
        <f>VLOOKUP(E5,VLOOKUPS!$A$1:$B$5,2, FALSE)</f>
        <v>5</v>
      </c>
      <c r="E5" t="s">
        <v>14</v>
      </c>
      <c r="F5">
        <f>VLOOKUP(G5,VLOOKUPS!$A$1:$B$5,2, FALSE)</f>
        <v>5</v>
      </c>
      <c r="G5" t="s">
        <v>14</v>
      </c>
      <c r="H5">
        <f>VLOOKUP(I5,VLOOKUPS!$A$1:$B$5,2, FALSE)</f>
        <v>3</v>
      </c>
      <c r="I5" t="s">
        <v>16</v>
      </c>
      <c r="J5">
        <f>VLOOKUP(K5,VLOOKUPS!$A$1:$B$5,2, FALSE)</f>
        <v>4</v>
      </c>
      <c r="K5" t="s">
        <v>20</v>
      </c>
      <c r="L5">
        <f>VLOOKUP(M5,VLOOKUPS!$A$1:$B$5,2, FALSE)</f>
        <v>4</v>
      </c>
      <c r="M5" t="s">
        <v>20</v>
      </c>
      <c r="N5">
        <f>VLOOKUP(O5,VLOOKUPS!$A$1:$B$5,2, FALSE)</f>
        <v>3</v>
      </c>
      <c r="O5" t="s">
        <v>16</v>
      </c>
      <c r="P5">
        <f>VLOOKUP(Q5,VLOOKUPS!$A$1:$B$5,2, FALSE)</f>
        <v>4</v>
      </c>
      <c r="Q5" t="s">
        <v>20</v>
      </c>
      <c r="R5">
        <f>VLOOKUP(S5,VLOOKUPS!$A$1:$B$5,2, FALSE)</f>
        <v>5</v>
      </c>
      <c r="S5" t="s">
        <v>14</v>
      </c>
      <c r="T5">
        <f>VLOOKUP(U5,VLOOKUPS!$A$1:$B$5,2, FALSE)</f>
        <v>5</v>
      </c>
      <c r="U5" t="s">
        <v>14</v>
      </c>
      <c r="V5">
        <f>VLOOKUP(W5,VLOOKUPS!$D$1:$E$31,2, FALSE)</f>
        <v>3</v>
      </c>
      <c r="W5" t="s">
        <v>28</v>
      </c>
      <c r="X5">
        <f>VLOOKUP(Y5,VLOOKUPS!$G$1:$H$3,2, FALSE)</f>
        <v>0</v>
      </c>
      <c r="Y5" t="s">
        <v>17</v>
      </c>
    </row>
    <row r="6" spans="1:25" x14ac:dyDescent="0.2">
      <c r="A6" t="s">
        <v>29</v>
      </c>
      <c r="B6">
        <f>VLOOKUP(C6,VLOOKUPS!$A$1:$B$5,2, FALSE)</f>
        <v>5</v>
      </c>
      <c r="C6" t="s">
        <v>14</v>
      </c>
      <c r="D6">
        <f>VLOOKUP(E6,VLOOKUPS!$A$1:$B$5,2, FALSE)</f>
        <v>4</v>
      </c>
      <c r="E6" t="s">
        <v>20</v>
      </c>
      <c r="F6">
        <f>VLOOKUP(G6,VLOOKUPS!$A$1:$B$5,2, FALSE)</f>
        <v>3</v>
      </c>
      <c r="G6" t="s">
        <v>16</v>
      </c>
      <c r="H6">
        <f>VLOOKUP(I6,VLOOKUPS!$A$1:$B$5,2, FALSE)</f>
        <v>3</v>
      </c>
      <c r="I6" t="s">
        <v>16</v>
      </c>
      <c r="J6">
        <f>VLOOKUP(K6,VLOOKUPS!$A$1:$B$5,2, FALSE)</f>
        <v>2</v>
      </c>
      <c r="K6" t="s">
        <v>15</v>
      </c>
      <c r="L6">
        <f>VLOOKUP(M6,VLOOKUPS!$A$1:$B$5,2, FALSE)</f>
        <v>3</v>
      </c>
      <c r="M6" t="s">
        <v>16</v>
      </c>
      <c r="N6">
        <f>VLOOKUP(O6,VLOOKUPS!$A$1:$B$5,2, FALSE)</f>
        <v>3</v>
      </c>
      <c r="O6" t="s">
        <v>16</v>
      </c>
      <c r="P6">
        <f>VLOOKUP(Q6,VLOOKUPS!$A$1:$B$5,2, FALSE)</f>
        <v>4</v>
      </c>
      <c r="Q6" t="s">
        <v>20</v>
      </c>
      <c r="R6">
        <f>VLOOKUP(S6,VLOOKUPS!$A$1:$B$5,2, FALSE)</f>
        <v>4</v>
      </c>
      <c r="S6" t="s">
        <v>20</v>
      </c>
      <c r="T6">
        <f>VLOOKUP(U6,VLOOKUPS!$A$1:$B$5,2, FALSE)</f>
        <v>4</v>
      </c>
      <c r="U6" t="s">
        <v>20</v>
      </c>
      <c r="V6">
        <f>VLOOKUP(W6,VLOOKUPS!$D$1:$E$31,2, FALSE)</f>
        <v>4</v>
      </c>
      <c r="W6" t="s">
        <v>30</v>
      </c>
      <c r="X6">
        <f>VLOOKUP(Y6,VLOOKUPS!$G$1:$H$3,2, FALSE)</f>
        <v>0</v>
      </c>
      <c r="Y6" t="s">
        <v>17</v>
      </c>
    </row>
    <row r="7" spans="1:25" x14ac:dyDescent="0.2">
      <c r="A7" t="s">
        <v>31</v>
      </c>
      <c r="B7">
        <f>VLOOKUP(C7,VLOOKUPS!$A$1:$B$5,2, FALSE)</f>
        <v>5</v>
      </c>
      <c r="C7" t="s">
        <v>14</v>
      </c>
      <c r="D7">
        <f>VLOOKUP(E7,VLOOKUPS!$A$1:$B$5,2, FALSE)</f>
        <v>3</v>
      </c>
      <c r="E7" t="s">
        <v>16</v>
      </c>
      <c r="F7">
        <f>VLOOKUP(G7,VLOOKUPS!$A$1:$B$5,2, FALSE)</f>
        <v>4</v>
      </c>
      <c r="G7" t="s">
        <v>20</v>
      </c>
      <c r="H7">
        <f>VLOOKUP(I7,VLOOKUPS!$A$1:$B$5,2, FALSE)</f>
        <v>4</v>
      </c>
      <c r="I7" t="s">
        <v>20</v>
      </c>
      <c r="J7">
        <f>VLOOKUP(K7,VLOOKUPS!$A$1:$B$5,2, FALSE)</f>
        <v>4</v>
      </c>
      <c r="K7" t="s">
        <v>20</v>
      </c>
      <c r="L7">
        <f>VLOOKUP(M7,VLOOKUPS!$A$1:$B$5,2, FALSE)</f>
        <v>2</v>
      </c>
      <c r="M7" t="s">
        <v>15</v>
      </c>
      <c r="N7">
        <f>VLOOKUP(O7,VLOOKUPS!$A$1:$B$5,2, FALSE)</f>
        <v>3</v>
      </c>
      <c r="O7" t="s">
        <v>16</v>
      </c>
      <c r="P7">
        <f>VLOOKUP(Q7,VLOOKUPS!$A$1:$B$5,2, FALSE)</f>
        <v>5</v>
      </c>
      <c r="Q7" t="s">
        <v>14</v>
      </c>
      <c r="R7">
        <f>VLOOKUP(S7,VLOOKUPS!$A$1:$B$5,2, FALSE)</f>
        <v>5</v>
      </c>
      <c r="S7" t="s">
        <v>14</v>
      </c>
      <c r="T7">
        <f>VLOOKUP(U7,VLOOKUPS!$A$1:$B$5,2, FALSE)</f>
        <v>5</v>
      </c>
      <c r="U7" t="s">
        <v>14</v>
      </c>
      <c r="V7">
        <f>VLOOKUP(W7,VLOOKUPS!$D$1:$E$31,2, FALSE)</f>
        <v>2</v>
      </c>
      <c r="W7" t="s">
        <v>26</v>
      </c>
      <c r="X7">
        <f>VLOOKUP(Y7,VLOOKUPS!$G$1:$H$3,2, FALSE)</f>
        <v>2</v>
      </c>
      <c r="Y7" t="s">
        <v>13</v>
      </c>
    </row>
    <row r="8" spans="1:25" x14ac:dyDescent="0.2">
      <c r="A8" t="s">
        <v>32</v>
      </c>
      <c r="B8">
        <f>VLOOKUP(C8,VLOOKUPS!$A$1:$B$5,2, FALSE)</f>
        <v>4</v>
      </c>
      <c r="C8" t="s">
        <v>20</v>
      </c>
      <c r="D8">
        <f>VLOOKUP(E8,VLOOKUPS!$A$1:$B$5,2, FALSE)</f>
        <v>2</v>
      </c>
      <c r="E8" t="s">
        <v>15</v>
      </c>
      <c r="F8">
        <f>VLOOKUP(G8,VLOOKUPS!$A$1:$B$5,2, FALSE)</f>
        <v>2</v>
      </c>
      <c r="G8" t="s">
        <v>15</v>
      </c>
      <c r="H8">
        <f>VLOOKUP(I8,VLOOKUPS!$A$1:$B$5,2, FALSE)</f>
        <v>4</v>
      </c>
      <c r="I8" t="s">
        <v>20</v>
      </c>
      <c r="J8">
        <f>VLOOKUP(K8,VLOOKUPS!$A$1:$B$5,2, FALSE)</f>
        <v>3</v>
      </c>
      <c r="K8" t="s">
        <v>16</v>
      </c>
      <c r="L8">
        <f>VLOOKUP(M8,VLOOKUPS!$A$1:$B$5,2, FALSE)</f>
        <v>4</v>
      </c>
      <c r="M8" t="s">
        <v>20</v>
      </c>
      <c r="N8">
        <f>VLOOKUP(O8,VLOOKUPS!$A$1:$B$5,2, FALSE)</f>
        <v>2</v>
      </c>
      <c r="O8" t="s">
        <v>15</v>
      </c>
      <c r="P8">
        <f>VLOOKUP(Q8,VLOOKUPS!$A$1:$B$5,2, FALSE)</f>
        <v>3</v>
      </c>
      <c r="Q8" t="s">
        <v>16</v>
      </c>
      <c r="R8">
        <f>VLOOKUP(S8,VLOOKUPS!$A$1:$B$5,2, FALSE)</f>
        <v>3</v>
      </c>
      <c r="S8" t="s">
        <v>16</v>
      </c>
      <c r="T8">
        <f>VLOOKUP(U8,VLOOKUPS!$A$1:$B$5,2, FALSE)</f>
        <v>3</v>
      </c>
      <c r="U8" t="s">
        <v>16</v>
      </c>
      <c r="V8">
        <f>VLOOKUP(W8,VLOOKUPS!$D$1:$E$31,2, FALSE)</f>
        <v>5</v>
      </c>
      <c r="W8" t="s">
        <v>33</v>
      </c>
      <c r="X8">
        <f>VLOOKUP(Y8,VLOOKUPS!$G$1:$H$3,2, FALSE)</f>
        <v>0</v>
      </c>
      <c r="Y8" t="s">
        <v>17</v>
      </c>
    </row>
    <row r="9" spans="1:25" x14ac:dyDescent="0.2">
      <c r="A9" t="s">
        <v>34</v>
      </c>
      <c r="B9">
        <f>VLOOKUP(C9,VLOOKUPS!$A$1:$B$5,2, FALSE)</f>
        <v>5</v>
      </c>
      <c r="C9" t="s">
        <v>14</v>
      </c>
      <c r="D9">
        <f>VLOOKUP(E9,VLOOKUPS!$A$1:$B$5,2, FALSE)</f>
        <v>4</v>
      </c>
      <c r="E9" t="s">
        <v>20</v>
      </c>
      <c r="F9">
        <f>VLOOKUP(G9,VLOOKUPS!$A$1:$B$5,2, FALSE)</f>
        <v>4</v>
      </c>
      <c r="G9" t="s">
        <v>20</v>
      </c>
      <c r="H9">
        <f>VLOOKUP(I9,VLOOKUPS!$A$1:$B$5,2, FALSE)</f>
        <v>4</v>
      </c>
      <c r="I9" t="s">
        <v>20</v>
      </c>
      <c r="J9">
        <f>VLOOKUP(K9,VLOOKUPS!$A$1:$B$5,2, FALSE)</f>
        <v>3</v>
      </c>
      <c r="K9" t="s">
        <v>16</v>
      </c>
      <c r="L9">
        <f>VLOOKUP(M9,VLOOKUPS!$A$1:$B$5,2, FALSE)</f>
        <v>2</v>
      </c>
      <c r="M9" t="s">
        <v>15</v>
      </c>
      <c r="N9">
        <f>VLOOKUP(O9,VLOOKUPS!$A$1:$B$5,2, FALSE)</f>
        <v>3</v>
      </c>
      <c r="O9" t="s">
        <v>16</v>
      </c>
      <c r="P9">
        <f>VLOOKUP(Q9,VLOOKUPS!$A$1:$B$5,2, FALSE)</f>
        <v>5</v>
      </c>
      <c r="Q9" t="s">
        <v>14</v>
      </c>
      <c r="R9">
        <f>VLOOKUP(S9,VLOOKUPS!$A$1:$B$5,2, FALSE)</f>
        <v>5</v>
      </c>
      <c r="S9" t="s">
        <v>14</v>
      </c>
      <c r="T9">
        <f>VLOOKUP(U9,VLOOKUPS!$A$1:$B$5,2, FALSE)</f>
        <v>4</v>
      </c>
      <c r="U9" t="s">
        <v>20</v>
      </c>
      <c r="V9">
        <f>VLOOKUP(W9,VLOOKUPS!$D$1:$E$31,2, FALSE)</f>
        <v>6</v>
      </c>
      <c r="W9" t="s">
        <v>35</v>
      </c>
      <c r="X9">
        <f>VLOOKUP(Y9,VLOOKUPS!$G$1:$H$3,2, FALSE)</f>
        <v>0</v>
      </c>
      <c r="Y9" t="s">
        <v>17</v>
      </c>
    </row>
    <row r="10" spans="1:25" x14ac:dyDescent="0.2">
      <c r="A10" t="s">
        <v>36</v>
      </c>
      <c r="B10">
        <f>VLOOKUP(C10,VLOOKUPS!$A$1:$B$5,2, FALSE)</f>
        <v>4</v>
      </c>
      <c r="C10" t="s">
        <v>20</v>
      </c>
      <c r="D10">
        <f>VLOOKUP(E10,VLOOKUPS!$A$1:$B$5,2, FALSE)</f>
        <v>2</v>
      </c>
      <c r="E10" t="s">
        <v>15</v>
      </c>
      <c r="F10">
        <f>VLOOKUP(G10,VLOOKUPS!$A$1:$B$5,2, FALSE)</f>
        <v>4</v>
      </c>
      <c r="G10" t="s">
        <v>20</v>
      </c>
      <c r="H10">
        <f>VLOOKUP(I10,VLOOKUPS!$A$1:$B$5,2, FALSE)</f>
        <v>4</v>
      </c>
      <c r="I10" t="s">
        <v>20</v>
      </c>
      <c r="J10">
        <f>VLOOKUP(K10,VLOOKUPS!$A$1:$B$5,2, FALSE)</f>
        <v>4</v>
      </c>
      <c r="K10" t="s">
        <v>20</v>
      </c>
      <c r="L10">
        <f>VLOOKUP(M10,VLOOKUPS!$A$1:$B$5,2, FALSE)</f>
        <v>4</v>
      </c>
      <c r="M10" t="s">
        <v>20</v>
      </c>
      <c r="N10">
        <f>VLOOKUP(O10,VLOOKUPS!$A$1:$B$5,2, FALSE)</f>
        <v>5</v>
      </c>
      <c r="O10" t="s">
        <v>14</v>
      </c>
      <c r="P10">
        <f>VLOOKUP(Q10,VLOOKUPS!$A$1:$B$5,2, FALSE)</f>
        <v>5</v>
      </c>
      <c r="Q10" t="s">
        <v>14</v>
      </c>
      <c r="R10">
        <f>VLOOKUP(S10,VLOOKUPS!$A$1:$B$5,2, FALSE)</f>
        <v>5</v>
      </c>
      <c r="S10" t="s">
        <v>14</v>
      </c>
      <c r="T10">
        <f>VLOOKUP(U10,VLOOKUPS!$A$1:$B$5,2, FALSE)</f>
        <v>5</v>
      </c>
      <c r="U10" t="s">
        <v>14</v>
      </c>
      <c r="V10">
        <f>VLOOKUP(W10,VLOOKUPS!$D$1:$E$31,2, FALSE)</f>
        <v>7</v>
      </c>
      <c r="W10" t="s">
        <v>37</v>
      </c>
      <c r="X10">
        <f>VLOOKUP(Y10,VLOOKUPS!$G$1:$H$3,2, FALSE)</f>
        <v>0</v>
      </c>
      <c r="Y10" t="s">
        <v>17</v>
      </c>
    </row>
    <row r="11" spans="1:25" x14ac:dyDescent="0.2">
      <c r="A11" t="s">
        <v>38</v>
      </c>
      <c r="B11">
        <f>VLOOKUP(C11,VLOOKUPS!$A$1:$B$5,2, FALSE)</f>
        <v>4</v>
      </c>
      <c r="C11" t="s">
        <v>20</v>
      </c>
      <c r="D11">
        <f>VLOOKUP(E11,VLOOKUPS!$A$1:$B$5,2, FALSE)</f>
        <v>5</v>
      </c>
      <c r="E11" t="s">
        <v>14</v>
      </c>
      <c r="F11">
        <f>VLOOKUP(G11,VLOOKUPS!$A$1:$B$5,2, FALSE)</f>
        <v>1</v>
      </c>
      <c r="G11" t="s">
        <v>23</v>
      </c>
      <c r="H11">
        <f>VLOOKUP(I11,VLOOKUPS!$A$1:$B$5,2, FALSE)</f>
        <v>2</v>
      </c>
      <c r="I11" t="s">
        <v>15</v>
      </c>
      <c r="J11">
        <f>VLOOKUP(K11,VLOOKUPS!$A$1:$B$5,2, FALSE)</f>
        <v>3</v>
      </c>
      <c r="K11" t="s">
        <v>16</v>
      </c>
      <c r="L11">
        <f>VLOOKUP(M11,VLOOKUPS!$A$1:$B$5,2, FALSE)</f>
        <v>3</v>
      </c>
      <c r="M11" t="s">
        <v>16</v>
      </c>
      <c r="N11">
        <f>VLOOKUP(O11,VLOOKUPS!$A$1:$B$5,2, FALSE)</f>
        <v>3</v>
      </c>
      <c r="O11" t="s">
        <v>16</v>
      </c>
      <c r="P11">
        <f>VLOOKUP(Q11,VLOOKUPS!$A$1:$B$5,2, FALSE)</f>
        <v>4</v>
      </c>
      <c r="Q11" t="s">
        <v>20</v>
      </c>
      <c r="R11">
        <f>VLOOKUP(S11,VLOOKUPS!$A$1:$B$5,2, FALSE)</f>
        <v>4</v>
      </c>
      <c r="S11" t="s">
        <v>20</v>
      </c>
      <c r="T11">
        <f>VLOOKUP(U11,VLOOKUPS!$A$1:$B$5,2, FALSE)</f>
        <v>4</v>
      </c>
      <c r="U11" t="s">
        <v>20</v>
      </c>
      <c r="V11">
        <f>VLOOKUP(W11,VLOOKUPS!$D$1:$E$31,2, FALSE)</f>
        <v>8</v>
      </c>
      <c r="W11" t="s">
        <v>39</v>
      </c>
      <c r="X11">
        <f>VLOOKUP(Y11,VLOOKUPS!$G$1:$H$3,2, FALSE)</f>
        <v>0</v>
      </c>
      <c r="Y11" t="s">
        <v>17</v>
      </c>
    </row>
    <row r="12" spans="1:25" x14ac:dyDescent="0.2">
      <c r="A12" t="s">
        <v>40</v>
      </c>
      <c r="B12">
        <f>VLOOKUP(C12,VLOOKUPS!$A$1:$B$5,2, FALSE)</f>
        <v>4</v>
      </c>
      <c r="C12" t="s">
        <v>20</v>
      </c>
      <c r="D12">
        <f>VLOOKUP(E12,VLOOKUPS!$A$1:$B$5,2, FALSE)</f>
        <v>4</v>
      </c>
      <c r="E12" t="s">
        <v>20</v>
      </c>
      <c r="F12">
        <f>VLOOKUP(G12,VLOOKUPS!$A$1:$B$5,2, FALSE)</f>
        <v>2</v>
      </c>
      <c r="G12" t="s">
        <v>15</v>
      </c>
      <c r="H12">
        <f>VLOOKUP(I12,VLOOKUPS!$A$1:$B$5,2, FALSE)</f>
        <v>4</v>
      </c>
      <c r="I12" t="s">
        <v>20</v>
      </c>
      <c r="J12">
        <f>VLOOKUP(K12,VLOOKUPS!$A$1:$B$5,2, FALSE)</f>
        <v>1</v>
      </c>
      <c r="K12" t="s">
        <v>23</v>
      </c>
      <c r="L12">
        <f>VLOOKUP(M12,VLOOKUPS!$A$1:$B$5,2, FALSE)</f>
        <v>2</v>
      </c>
      <c r="M12" t="s">
        <v>15</v>
      </c>
      <c r="N12">
        <f>VLOOKUP(O12,VLOOKUPS!$A$1:$B$5,2, FALSE)</f>
        <v>4</v>
      </c>
      <c r="O12" t="s">
        <v>20</v>
      </c>
      <c r="P12">
        <f>VLOOKUP(Q12,VLOOKUPS!$A$1:$B$5,2, FALSE)</f>
        <v>4</v>
      </c>
      <c r="Q12" t="s">
        <v>20</v>
      </c>
      <c r="R12">
        <f>VLOOKUP(S12,VLOOKUPS!$A$1:$B$5,2, FALSE)</f>
        <v>5</v>
      </c>
      <c r="S12" t="s">
        <v>14</v>
      </c>
      <c r="T12">
        <f>VLOOKUP(U12,VLOOKUPS!$A$1:$B$5,2, FALSE)</f>
        <v>5</v>
      </c>
      <c r="U12" t="s">
        <v>14</v>
      </c>
      <c r="V12">
        <f>VLOOKUP(W12,VLOOKUPS!$D$1:$E$31,2, FALSE)</f>
        <v>1</v>
      </c>
      <c r="W12" t="s">
        <v>24</v>
      </c>
      <c r="X12">
        <f>VLOOKUP(Y12,VLOOKUPS!$G$1:$H$3,2, FALSE)</f>
        <v>2</v>
      </c>
      <c r="Y12" t="s">
        <v>13</v>
      </c>
    </row>
    <row r="13" spans="1:25" x14ac:dyDescent="0.2">
      <c r="A13" t="s">
        <v>41</v>
      </c>
      <c r="B13">
        <f>VLOOKUP(C13,VLOOKUPS!$A$1:$B$5,2, FALSE)</f>
        <v>4</v>
      </c>
      <c r="C13" t="s">
        <v>20</v>
      </c>
      <c r="D13">
        <f>VLOOKUP(E13,VLOOKUPS!$A$1:$B$5,2, FALSE)</f>
        <v>3</v>
      </c>
      <c r="E13" t="s">
        <v>16</v>
      </c>
      <c r="F13">
        <f>VLOOKUP(G13,VLOOKUPS!$A$1:$B$5,2, FALSE)</f>
        <v>4</v>
      </c>
      <c r="G13" t="s">
        <v>20</v>
      </c>
      <c r="H13">
        <f>VLOOKUP(I13,VLOOKUPS!$A$1:$B$5,2, FALSE)</f>
        <v>4</v>
      </c>
      <c r="I13" t="s">
        <v>20</v>
      </c>
      <c r="J13">
        <f>VLOOKUP(K13,VLOOKUPS!$A$1:$B$5,2, FALSE)</f>
        <v>4</v>
      </c>
      <c r="K13" t="s">
        <v>20</v>
      </c>
      <c r="L13">
        <f>VLOOKUP(M13,VLOOKUPS!$A$1:$B$5,2, FALSE)</f>
        <v>3</v>
      </c>
      <c r="M13" t="s">
        <v>16</v>
      </c>
      <c r="N13">
        <f>VLOOKUP(O13,VLOOKUPS!$A$1:$B$5,2, FALSE)</f>
        <v>3</v>
      </c>
      <c r="O13" t="s">
        <v>16</v>
      </c>
      <c r="P13">
        <f>VLOOKUP(Q13,VLOOKUPS!$A$1:$B$5,2, FALSE)</f>
        <v>4</v>
      </c>
      <c r="Q13" t="s">
        <v>20</v>
      </c>
      <c r="R13">
        <f>VLOOKUP(S13,VLOOKUPS!$A$1:$B$5,2, FALSE)</f>
        <v>5</v>
      </c>
      <c r="S13" t="s">
        <v>14</v>
      </c>
      <c r="T13">
        <f>VLOOKUP(U13,VLOOKUPS!$A$1:$B$5,2, FALSE)</f>
        <v>5</v>
      </c>
      <c r="U13" t="s">
        <v>14</v>
      </c>
      <c r="V13">
        <f>VLOOKUP(W13,VLOOKUPS!$D$1:$E$31,2, FALSE)</f>
        <v>9</v>
      </c>
      <c r="W13" t="s">
        <v>42</v>
      </c>
      <c r="X13">
        <f>VLOOKUP(Y13,VLOOKUPS!$G$1:$H$3,2, FALSE)</f>
        <v>0</v>
      </c>
      <c r="Y13" t="s">
        <v>17</v>
      </c>
    </row>
    <row r="14" spans="1:25" x14ac:dyDescent="0.2">
      <c r="A14" t="s">
        <v>43</v>
      </c>
      <c r="B14">
        <f>VLOOKUP(C14,VLOOKUPS!$A$1:$B$5,2, FALSE)</f>
        <v>4</v>
      </c>
      <c r="C14" t="s">
        <v>20</v>
      </c>
      <c r="D14">
        <f>VLOOKUP(E14,VLOOKUPS!$A$1:$B$5,2, FALSE)</f>
        <v>3</v>
      </c>
      <c r="E14" t="s">
        <v>16</v>
      </c>
      <c r="F14">
        <f>VLOOKUP(G14,VLOOKUPS!$A$1:$B$5,2, FALSE)</f>
        <v>3</v>
      </c>
      <c r="G14" t="s">
        <v>16</v>
      </c>
      <c r="H14">
        <f>VLOOKUP(I14,VLOOKUPS!$A$1:$B$5,2, FALSE)</f>
        <v>4</v>
      </c>
      <c r="I14" t="s">
        <v>20</v>
      </c>
      <c r="J14">
        <f>VLOOKUP(K14,VLOOKUPS!$A$1:$B$5,2, FALSE)</f>
        <v>2</v>
      </c>
      <c r="K14" t="s">
        <v>15</v>
      </c>
      <c r="L14">
        <f>VLOOKUP(M14,VLOOKUPS!$A$1:$B$5,2, FALSE)</f>
        <v>3</v>
      </c>
      <c r="M14" t="s">
        <v>16</v>
      </c>
      <c r="N14">
        <f>VLOOKUP(O14,VLOOKUPS!$A$1:$B$5,2, FALSE)</f>
        <v>3</v>
      </c>
      <c r="O14" t="s">
        <v>16</v>
      </c>
      <c r="P14">
        <f>VLOOKUP(Q14,VLOOKUPS!$A$1:$B$5,2, FALSE)</f>
        <v>5</v>
      </c>
      <c r="Q14" t="s">
        <v>14</v>
      </c>
      <c r="R14">
        <f>VLOOKUP(S14,VLOOKUPS!$A$1:$B$5,2, FALSE)</f>
        <v>5</v>
      </c>
      <c r="S14" t="s">
        <v>14</v>
      </c>
      <c r="T14">
        <f>VLOOKUP(U14,VLOOKUPS!$A$1:$B$5,2, FALSE)</f>
        <v>5</v>
      </c>
      <c r="U14" t="s">
        <v>14</v>
      </c>
      <c r="V14">
        <f>VLOOKUP(W14,VLOOKUPS!$D$1:$E$31,2, FALSE)</f>
        <v>10</v>
      </c>
      <c r="W14" t="s">
        <v>44</v>
      </c>
      <c r="X14">
        <f>VLOOKUP(Y14,VLOOKUPS!$G$1:$H$3,2, FALSE)</f>
        <v>0</v>
      </c>
      <c r="Y14" t="s">
        <v>17</v>
      </c>
    </row>
    <row r="15" spans="1:25" x14ac:dyDescent="0.2">
      <c r="A15" t="s">
        <v>45</v>
      </c>
      <c r="B15">
        <f>VLOOKUP(C15,VLOOKUPS!$A$1:$B$5,2, FALSE)</f>
        <v>4</v>
      </c>
      <c r="C15" t="s">
        <v>20</v>
      </c>
      <c r="D15">
        <f>VLOOKUP(E15,VLOOKUPS!$A$1:$B$5,2, FALSE)</f>
        <v>2</v>
      </c>
      <c r="E15" t="s">
        <v>15</v>
      </c>
      <c r="F15">
        <f>VLOOKUP(G15,VLOOKUPS!$A$1:$B$5,2, FALSE)</f>
        <v>4</v>
      </c>
      <c r="G15" t="s">
        <v>20</v>
      </c>
      <c r="H15">
        <f>VLOOKUP(I15,VLOOKUPS!$A$1:$B$5,2, FALSE)</f>
        <v>4</v>
      </c>
      <c r="I15" t="s">
        <v>20</v>
      </c>
      <c r="J15">
        <f>VLOOKUP(K15,VLOOKUPS!$A$1:$B$5,2, FALSE)</f>
        <v>2</v>
      </c>
      <c r="K15" t="s">
        <v>15</v>
      </c>
      <c r="L15">
        <f>VLOOKUP(M15,VLOOKUPS!$A$1:$B$5,2, FALSE)</f>
        <v>2</v>
      </c>
      <c r="M15" t="s">
        <v>15</v>
      </c>
      <c r="N15">
        <f>VLOOKUP(O15,VLOOKUPS!$A$1:$B$5,2, FALSE)</f>
        <v>2</v>
      </c>
      <c r="O15" t="s">
        <v>15</v>
      </c>
      <c r="P15">
        <f>VLOOKUP(Q15,VLOOKUPS!$A$1:$B$5,2, FALSE)</f>
        <v>2</v>
      </c>
      <c r="Q15" t="s">
        <v>15</v>
      </c>
      <c r="R15">
        <f>VLOOKUP(S15,VLOOKUPS!$A$1:$B$5,2, FALSE)</f>
        <v>5</v>
      </c>
      <c r="S15" t="s">
        <v>14</v>
      </c>
      <c r="T15">
        <f>VLOOKUP(U15,VLOOKUPS!$A$1:$B$5,2, FALSE)</f>
        <v>5</v>
      </c>
      <c r="U15" t="s">
        <v>14</v>
      </c>
      <c r="V15">
        <f>VLOOKUP(W15,VLOOKUPS!$D$1:$E$31,2, FALSE)</f>
        <v>11</v>
      </c>
      <c r="W15" t="s">
        <v>46</v>
      </c>
      <c r="X15">
        <f>VLOOKUP(Y15,VLOOKUPS!$G$1:$H$3,2, FALSE)</f>
        <v>0</v>
      </c>
      <c r="Y15" t="s">
        <v>17</v>
      </c>
    </row>
    <row r="16" spans="1:25" x14ac:dyDescent="0.2">
      <c r="A16" t="s">
        <v>47</v>
      </c>
      <c r="B16">
        <f>VLOOKUP(C16,VLOOKUPS!$A$1:$B$5,2, FALSE)</f>
        <v>5</v>
      </c>
      <c r="C16" t="s">
        <v>14</v>
      </c>
      <c r="D16">
        <f>VLOOKUP(E16,VLOOKUPS!$A$1:$B$5,2, FALSE)</f>
        <v>5</v>
      </c>
      <c r="E16" t="s">
        <v>14</v>
      </c>
      <c r="F16">
        <f>VLOOKUP(G16,VLOOKUPS!$A$1:$B$5,2, FALSE)</f>
        <v>5</v>
      </c>
      <c r="G16" t="s">
        <v>14</v>
      </c>
      <c r="H16">
        <f>VLOOKUP(I16,VLOOKUPS!$A$1:$B$5,2, FALSE)</f>
        <v>5</v>
      </c>
      <c r="I16" t="s">
        <v>14</v>
      </c>
      <c r="J16">
        <f>VLOOKUP(K16,VLOOKUPS!$A$1:$B$5,2, FALSE)</f>
        <v>5</v>
      </c>
      <c r="K16" t="s">
        <v>14</v>
      </c>
      <c r="L16">
        <f>VLOOKUP(M16,VLOOKUPS!$A$1:$B$5,2, FALSE)</f>
        <v>5</v>
      </c>
      <c r="M16" t="s">
        <v>14</v>
      </c>
      <c r="N16">
        <f>VLOOKUP(O16,VLOOKUPS!$A$1:$B$5,2, FALSE)</f>
        <v>5</v>
      </c>
      <c r="O16" t="s">
        <v>14</v>
      </c>
      <c r="P16">
        <f>VLOOKUP(Q16,VLOOKUPS!$A$1:$B$5,2, FALSE)</f>
        <v>5</v>
      </c>
      <c r="Q16" t="s">
        <v>14</v>
      </c>
      <c r="R16">
        <f>VLOOKUP(S16,VLOOKUPS!$A$1:$B$5,2, FALSE)</f>
        <v>5</v>
      </c>
      <c r="S16" t="s">
        <v>14</v>
      </c>
      <c r="T16">
        <f>VLOOKUP(U16,VLOOKUPS!$A$1:$B$5,2, FALSE)</f>
        <v>5</v>
      </c>
      <c r="U16" t="s">
        <v>14</v>
      </c>
      <c r="V16">
        <f>VLOOKUP(W16,VLOOKUPS!$D$1:$E$31,2, FALSE)</f>
        <v>12</v>
      </c>
      <c r="W16" t="s">
        <v>48</v>
      </c>
      <c r="X16">
        <f>VLOOKUP(Y16,VLOOKUPS!$G$1:$H$3,2, FALSE)</f>
        <v>0</v>
      </c>
      <c r="Y16" t="s">
        <v>17</v>
      </c>
    </row>
    <row r="17" spans="1:25" x14ac:dyDescent="0.2">
      <c r="A17" t="s">
        <v>49</v>
      </c>
      <c r="B17">
        <f>VLOOKUP(C17,VLOOKUPS!$A$1:$B$5,2, FALSE)</f>
        <v>5</v>
      </c>
      <c r="C17" t="s">
        <v>14</v>
      </c>
      <c r="D17">
        <f>VLOOKUP(E17,VLOOKUPS!$A$1:$B$5,2, FALSE)</f>
        <v>5</v>
      </c>
      <c r="E17" t="s">
        <v>14</v>
      </c>
      <c r="F17">
        <f>VLOOKUP(G17,VLOOKUPS!$A$1:$B$5,2, FALSE)</f>
        <v>2</v>
      </c>
      <c r="G17" t="s">
        <v>15</v>
      </c>
      <c r="H17">
        <f>VLOOKUP(I17,VLOOKUPS!$A$1:$B$5,2, FALSE)</f>
        <v>5</v>
      </c>
      <c r="I17" t="s">
        <v>14</v>
      </c>
      <c r="J17">
        <f>VLOOKUP(K17,VLOOKUPS!$A$1:$B$5,2, FALSE)</f>
        <v>2</v>
      </c>
      <c r="K17" t="s">
        <v>15</v>
      </c>
      <c r="L17">
        <f>VLOOKUP(M17,VLOOKUPS!$A$1:$B$5,2, FALSE)</f>
        <v>3</v>
      </c>
      <c r="M17" t="s">
        <v>16</v>
      </c>
      <c r="N17">
        <f>VLOOKUP(O17,VLOOKUPS!$A$1:$B$5,2, FALSE)</f>
        <v>2</v>
      </c>
      <c r="O17" t="s">
        <v>15</v>
      </c>
      <c r="P17">
        <f>VLOOKUP(Q17,VLOOKUPS!$A$1:$B$5,2, FALSE)</f>
        <v>4</v>
      </c>
      <c r="Q17" t="s">
        <v>20</v>
      </c>
      <c r="R17">
        <f>VLOOKUP(S17,VLOOKUPS!$A$1:$B$5,2, FALSE)</f>
        <v>5</v>
      </c>
      <c r="S17" t="s">
        <v>14</v>
      </c>
      <c r="T17">
        <f>VLOOKUP(U17,VLOOKUPS!$A$1:$B$5,2, FALSE)</f>
        <v>5</v>
      </c>
      <c r="U17" t="s">
        <v>14</v>
      </c>
      <c r="V17">
        <f>VLOOKUP(W17,VLOOKUPS!$D$1:$E$31,2, FALSE)</f>
        <v>13</v>
      </c>
      <c r="W17" t="s">
        <v>50</v>
      </c>
      <c r="X17">
        <f>VLOOKUP(Y17,VLOOKUPS!$G$1:$H$3,2, FALSE)</f>
        <v>0</v>
      </c>
      <c r="Y17" t="s">
        <v>17</v>
      </c>
    </row>
    <row r="18" spans="1:25" x14ac:dyDescent="0.2">
      <c r="A18" t="s">
        <v>51</v>
      </c>
      <c r="B18">
        <f>VLOOKUP(C18,VLOOKUPS!$A$1:$B$5,2, FALSE)</f>
        <v>4</v>
      </c>
      <c r="C18" t="s">
        <v>20</v>
      </c>
      <c r="D18">
        <f>VLOOKUP(E18,VLOOKUPS!$A$1:$B$5,2, FALSE)</f>
        <v>2</v>
      </c>
      <c r="E18" t="s">
        <v>15</v>
      </c>
      <c r="F18">
        <f>VLOOKUP(G18,VLOOKUPS!$A$1:$B$5,2, FALSE)</f>
        <v>2</v>
      </c>
      <c r="G18" t="s">
        <v>15</v>
      </c>
      <c r="H18">
        <f>VLOOKUP(I18,VLOOKUPS!$A$1:$B$5,2, FALSE)</f>
        <v>4</v>
      </c>
      <c r="I18" t="s">
        <v>20</v>
      </c>
      <c r="J18">
        <f>VLOOKUP(K18,VLOOKUPS!$A$1:$B$5,2, FALSE)</f>
        <v>2</v>
      </c>
      <c r="K18" t="s">
        <v>15</v>
      </c>
      <c r="L18">
        <f>VLOOKUP(M18,VLOOKUPS!$A$1:$B$5,2, FALSE)</f>
        <v>4</v>
      </c>
      <c r="M18" t="s">
        <v>20</v>
      </c>
      <c r="N18">
        <f>VLOOKUP(O18,VLOOKUPS!$A$1:$B$5,2, FALSE)</f>
        <v>4</v>
      </c>
      <c r="O18" t="s">
        <v>20</v>
      </c>
      <c r="P18">
        <f>VLOOKUP(Q18,VLOOKUPS!$A$1:$B$5,2, FALSE)</f>
        <v>4</v>
      </c>
      <c r="Q18" t="s">
        <v>20</v>
      </c>
      <c r="R18">
        <f>VLOOKUP(S18,VLOOKUPS!$A$1:$B$5,2, FALSE)</f>
        <v>4</v>
      </c>
      <c r="S18" t="s">
        <v>20</v>
      </c>
      <c r="T18">
        <f>VLOOKUP(U18,VLOOKUPS!$A$1:$B$5,2, FALSE)</f>
        <v>5</v>
      </c>
      <c r="U18" t="s">
        <v>14</v>
      </c>
      <c r="V18">
        <f>VLOOKUP(W18,VLOOKUPS!$D$1:$E$31,2, FALSE)</f>
        <v>0</v>
      </c>
      <c r="W18" t="s">
        <v>21</v>
      </c>
      <c r="X18">
        <f>VLOOKUP(Y18,VLOOKUPS!$G$1:$H$3,2, FALSE)</f>
        <v>0</v>
      </c>
      <c r="Y18" t="s">
        <v>17</v>
      </c>
    </row>
    <row r="19" spans="1:25" x14ac:dyDescent="0.2">
      <c r="A19" t="s">
        <v>52</v>
      </c>
      <c r="B19">
        <f>VLOOKUP(C19,VLOOKUPS!$A$1:$B$5,2, FALSE)</f>
        <v>4</v>
      </c>
      <c r="C19" t="s">
        <v>20</v>
      </c>
      <c r="D19">
        <f>VLOOKUP(E19,VLOOKUPS!$A$1:$B$5,2, FALSE)</f>
        <v>2</v>
      </c>
      <c r="E19" t="s">
        <v>15</v>
      </c>
      <c r="F19">
        <f>VLOOKUP(G19,VLOOKUPS!$A$1:$B$5,2, FALSE)</f>
        <v>3</v>
      </c>
      <c r="G19" t="s">
        <v>16</v>
      </c>
      <c r="H19">
        <f>VLOOKUP(I19,VLOOKUPS!$A$1:$B$5,2, FALSE)</f>
        <v>4</v>
      </c>
      <c r="I19" t="s">
        <v>20</v>
      </c>
      <c r="J19">
        <f>VLOOKUP(K19,VLOOKUPS!$A$1:$B$5,2, FALSE)</f>
        <v>2</v>
      </c>
      <c r="K19" t="s">
        <v>15</v>
      </c>
      <c r="L19">
        <f>VLOOKUP(M19,VLOOKUPS!$A$1:$B$5,2, FALSE)</f>
        <v>2</v>
      </c>
      <c r="M19" t="s">
        <v>15</v>
      </c>
      <c r="N19">
        <f>VLOOKUP(O19,VLOOKUPS!$A$1:$B$5,2, FALSE)</f>
        <v>4</v>
      </c>
      <c r="O19" t="s">
        <v>20</v>
      </c>
      <c r="P19">
        <f>VLOOKUP(Q19,VLOOKUPS!$A$1:$B$5,2, FALSE)</f>
        <v>4</v>
      </c>
      <c r="Q19" t="s">
        <v>20</v>
      </c>
      <c r="R19">
        <f>VLOOKUP(S19,VLOOKUPS!$A$1:$B$5,2, FALSE)</f>
        <v>4</v>
      </c>
      <c r="S19" t="s">
        <v>20</v>
      </c>
      <c r="T19">
        <f>VLOOKUP(U19,VLOOKUPS!$A$1:$B$5,2, FALSE)</f>
        <v>2</v>
      </c>
      <c r="U19" t="s">
        <v>15</v>
      </c>
      <c r="V19">
        <f>VLOOKUP(W19,VLOOKUPS!$D$1:$E$31,2, FALSE)</f>
        <v>14</v>
      </c>
      <c r="W19" t="s">
        <v>53</v>
      </c>
      <c r="X19">
        <f>VLOOKUP(Y19,VLOOKUPS!$G$1:$H$3,2, FALSE)</f>
        <v>0</v>
      </c>
      <c r="Y19" t="s">
        <v>17</v>
      </c>
    </row>
    <row r="20" spans="1:25" x14ac:dyDescent="0.2">
      <c r="A20" t="s">
        <v>54</v>
      </c>
      <c r="B20">
        <f>VLOOKUP(C20,VLOOKUPS!$A$1:$B$5,2, FALSE)</f>
        <v>4</v>
      </c>
      <c r="C20" t="s">
        <v>20</v>
      </c>
      <c r="D20">
        <f>VLOOKUP(E20,VLOOKUPS!$A$1:$B$5,2, FALSE)</f>
        <v>3</v>
      </c>
      <c r="E20" t="s">
        <v>16</v>
      </c>
      <c r="F20">
        <f>VLOOKUP(G20,VLOOKUPS!$A$1:$B$5,2, FALSE)</f>
        <v>3</v>
      </c>
      <c r="G20" t="s">
        <v>16</v>
      </c>
      <c r="H20">
        <f>VLOOKUP(I20,VLOOKUPS!$A$1:$B$5,2, FALSE)</f>
        <v>2</v>
      </c>
      <c r="I20" t="s">
        <v>15</v>
      </c>
      <c r="J20">
        <f>VLOOKUP(K20,VLOOKUPS!$A$1:$B$5,2, FALSE)</f>
        <v>3</v>
      </c>
      <c r="K20" t="s">
        <v>16</v>
      </c>
      <c r="L20">
        <f>VLOOKUP(M20,VLOOKUPS!$A$1:$B$5,2, FALSE)</f>
        <v>2</v>
      </c>
      <c r="M20" t="s">
        <v>15</v>
      </c>
      <c r="N20">
        <f>VLOOKUP(O20,VLOOKUPS!$A$1:$B$5,2, FALSE)</f>
        <v>2</v>
      </c>
      <c r="O20" t="s">
        <v>15</v>
      </c>
      <c r="P20">
        <f>VLOOKUP(Q20,VLOOKUPS!$A$1:$B$5,2, FALSE)</f>
        <v>5</v>
      </c>
      <c r="Q20" t="s">
        <v>14</v>
      </c>
      <c r="R20">
        <f>VLOOKUP(S20,VLOOKUPS!$A$1:$B$5,2, FALSE)</f>
        <v>5</v>
      </c>
      <c r="S20" t="s">
        <v>14</v>
      </c>
      <c r="T20">
        <f>VLOOKUP(U20,VLOOKUPS!$A$1:$B$5,2, FALSE)</f>
        <v>5</v>
      </c>
      <c r="U20" t="s">
        <v>14</v>
      </c>
      <c r="V20">
        <f>VLOOKUP(W20,VLOOKUPS!$D$1:$E$31,2, FALSE)</f>
        <v>15</v>
      </c>
      <c r="W20" t="s">
        <v>55</v>
      </c>
      <c r="X20">
        <f>VLOOKUP(Y20,VLOOKUPS!$G$1:$H$3,2, FALSE)</f>
        <v>0</v>
      </c>
      <c r="Y20" t="s">
        <v>17</v>
      </c>
    </row>
    <row r="21" spans="1:25" x14ac:dyDescent="0.2">
      <c r="A21" t="s">
        <v>56</v>
      </c>
      <c r="B21">
        <f>VLOOKUP(C21,VLOOKUPS!$A$1:$B$5,2, FALSE)</f>
        <v>5</v>
      </c>
      <c r="C21" t="s">
        <v>14</v>
      </c>
      <c r="D21">
        <f>VLOOKUP(E21,VLOOKUPS!$A$1:$B$5,2, FALSE)</f>
        <v>5</v>
      </c>
      <c r="E21" t="s">
        <v>14</v>
      </c>
      <c r="F21">
        <f>VLOOKUP(G21,VLOOKUPS!$A$1:$B$5,2, FALSE)</f>
        <v>5</v>
      </c>
      <c r="G21" t="s">
        <v>14</v>
      </c>
      <c r="H21">
        <f>VLOOKUP(I21,VLOOKUPS!$A$1:$B$5,2, FALSE)</f>
        <v>5</v>
      </c>
      <c r="I21" t="s">
        <v>14</v>
      </c>
      <c r="J21">
        <f>VLOOKUP(K21,VLOOKUPS!$A$1:$B$5,2, FALSE)</f>
        <v>5</v>
      </c>
      <c r="K21" t="s">
        <v>14</v>
      </c>
      <c r="L21">
        <f>VLOOKUP(M21,VLOOKUPS!$A$1:$B$5,2, FALSE)</f>
        <v>5</v>
      </c>
      <c r="M21" t="s">
        <v>14</v>
      </c>
      <c r="N21">
        <f>VLOOKUP(O21,VLOOKUPS!$A$1:$B$5,2, FALSE)</f>
        <v>5</v>
      </c>
      <c r="O21" t="s">
        <v>14</v>
      </c>
      <c r="P21">
        <f>VLOOKUP(Q21,VLOOKUPS!$A$1:$B$5,2, FALSE)</f>
        <v>5</v>
      </c>
      <c r="Q21" t="s">
        <v>14</v>
      </c>
      <c r="R21">
        <f>VLOOKUP(S21,VLOOKUPS!$A$1:$B$5,2, FALSE)</f>
        <v>5</v>
      </c>
      <c r="S21" t="s">
        <v>14</v>
      </c>
      <c r="T21">
        <f>VLOOKUP(U21,VLOOKUPS!$A$1:$B$5,2, FALSE)</f>
        <v>5</v>
      </c>
      <c r="U21" t="s">
        <v>14</v>
      </c>
      <c r="V21">
        <f>VLOOKUP(W21,VLOOKUPS!$D$1:$E$31,2, FALSE)</f>
        <v>16</v>
      </c>
      <c r="W21" t="s">
        <v>57</v>
      </c>
      <c r="X21">
        <f>VLOOKUP(Y21,VLOOKUPS!$G$1:$H$3,2, FALSE)</f>
        <v>0</v>
      </c>
      <c r="Y21" t="s">
        <v>17</v>
      </c>
    </row>
    <row r="22" spans="1:25" x14ac:dyDescent="0.2">
      <c r="A22" t="s">
        <v>58</v>
      </c>
      <c r="B22">
        <f>VLOOKUP(C22,VLOOKUPS!$A$1:$B$5,2, FALSE)</f>
        <v>5</v>
      </c>
      <c r="C22" t="s">
        <v>14</v>
      </c>
      <c r="D22">
        <f>VLOOKUP(E22,VLOOKUPS!$A$1:$B$5,2, FALSE)</f>
        <v>5</v>
      </c>
      <c r="E22" t="s">
        <v>14</v>
      </c>
      <c r="F22">
        <f>VLOOKUP(G22,VLOOKUPS!$A$1:$B$5,2, FALSE)</f>
        <v>3</v>
      </c>
      <c r="G22" t="s">
        <v>16</v>
      </c>
      <c r="H22">
        <f>VLOOKUP(I22,VLOOKUPS!$A$1:$B$5,2, FALSE)</f>
        <v>5</v>
      </c>
      <c r="I22" t="s">
        <v>14</v>
      </c>
      <c r="J22">
        <f>VLOOKUP(K22,VLOOKUPS!$A$1:$B$5,2, FALSE)</f>
        <v>3</v>
      </c>
      <c r="K22" t="s">
        <v>16</v>
      </c>
      <c r="L22">
        <f>VLOOKUP(M22,VLOOKUPS!$A$1:$B$5,2, FALSE)</f>
        <v>5</v>
      </c>
      <c r="M22" t="s">
        <v>14</v>
      </c>
      <c r="N22">
        <f>VLOOKUP(O22,VLOOKUPS!$A$1:$B$5,2, FALSE)</f>
        <v>3</v>
      </c>
      <c r="O22" t="s">
        <v>16</v>
      </c>
      <c r="P22">
        <f>VLOOKUP(Q22,VLOOKUPS!$A$1:$B$5,2, FALSE)</f>
        <v>5</v>
      </c>
      <c r="Q22" t="s">
        <v>14</v>
      </c>
      <c r="R22">
        <f>VLOOKUP(S22,VLOOKUPS!$A$1:$B$5,2, FALSE)</f>
        <v>5</v>
      </c>
      <c r="S22" t="s">
        <v>14</v>
      </c>
      <c r="T22">
        <f>VLOOKUP(U22,VLOOKUPS!$A$1:$B$5,2, FALSE)</f>
        <v>5</v>
      </c>
      <c r="U22" t="s">
        <v>14</v>
      </c>
      <c r="V22">
        <f>VLOOKUP(W22,VLOOKUPS!$D$1:$E$31,2, FALSE)</f>
        <v>17</v>
      </c>
      <c r="W22" t="s">
        <v>59</v>
      </c>
      <c r="X22">
        <f>VLOOKUP(Y22,VLOOKUPS!$G$1:$H$3,2, FALSE)</f>
        <v>0</v>
      </c>
      <c r="Y22" t="s">
        <v>17</v>
      </c>
    </row>
    <row r="23" spans="1:25" x14ac:dyDescent="0.2">
      <c r="A23" t="s">
        <v>60</v>
      </c>
      <c r="B23">
        <f>VLOOKUP(C23,VLOOKUPS!$A$1:$B$5,2, FALSE)</f>
        <v>4</v>
      </c>
      <c r="C23" t="s">
        <v>20</v>
      </c>
      <c r="D23">
        <f>VLOOKUP(E23,VLOOKUPS!$A$1:$B$5,2, FALSE)</f>
        <v>3</v>
      </c>
      <c r="E23" t="s">
        <v>16</v>
      </c>
      <c r="F23">
        <f>VLOOKUP(G23,VLOOKUPS!$A$1:$B$5,2, FALSE)</f>
        <v>3</v>
      </c>
      <c r="G23" t="s">
        <v>16</v>
      </c>
      <c r="H23">
        <f>VLOOKUP(I23,VLOOKUPS!$A$1:$B$5,2, FALSE)</f>
        <v>3</v>
      </c>
      <c r="I23" t="s">
        <v>16</v>
      </c>
      <c r="J23">
        <f>VLOOKUP(K23,VLOOKUPS!$A$1:$B$5,2, FALSE)</f>
        <v>3</v>
      </c>
      <c r="K23" t="s">
        <v>16</v>
      </c>
      <c r="L23">
        <f>VLOOKUP(M23,VLOOKUPS!$A$1:$B$5,2, FALSE)</f>
        <v>1</v>
      </c>
      <c r="M23" t="s">
        <v>23</v>
      </c>
      <c r="N23">
        <f>VLOOKUP(O23,VLOOKUPS!$A$1:$B$5,2, FALSE)</f>
        <v>1</v>
      </c>
      <c r="O23" t="s">
        <v>23</v>
      </c>
      <c r="P23">
        <f>VLOOKUP(Q23,VLOOKUPS!$A$1:$B$5,2, FALSE)</f>
        <v>4</v>
      </c>
      <c r="Q23" t="s">
        <v>20</v>
      </c>
      <c r="R23">
        <f>VLOOKUP(S23,VLOOKUPS!$A$1:$B$5,2, FALSE)</f>
        <v>5</v>
      </c>
      <c r="S23" t="s">
        <v>14</v>
      </c>
      <c r="T23">
        <f>VLOOKUP(U23,VLOOKUPS!$A$1:$B$5,2, FALSE)</f>
        <v>5</v>
      </c>
      <c r="U23" t="s">
        <v>14</v>
      </c>
      <c r="V23">
        <f>VLOOKUP(W23,VLOOKUPS!$D$1:$E$31,2, FALSE)</f>
        <v>18</v>
      </c>
      <c r="W23" t="s">
        <v>61</v>
      </c>
      <c r="X23">
        <f>VLOOKUP(Y23,VLOOKUPS!$G$1:$H$3,2, FALSE)</f>
        <v>0</v>
      </c>
      <c r="Y23" t="s">
        <v>17</v>
      </c>
    </row>
    <row r="24" spans="1:25" x14ac:dyDescent="0.2">
      <c r="A24" t="s">
        <v>62</v>
      </c>
      <c r="B24">
        <f>VLOOKUP(C24,VLOOKUPS!$A$1:$B$5,2, FALSE)</f>
        <v>3</v>
      </c>
      <c r="C24" t="s">
        <v>16</v>
      </c>
      <c r="D24">
        <f>VLOOKUP(E24,VLOOKUPS!$A$1:$B$5,2, FALSE)</f>
        <v>3</v>
      </c>
      <c r="E24" t="s">
        <v>16</v>
      </c>
      <c r="F24">
        <f>VLOOKUP(G24,VLOOKUPS!$A$1:$B$5,2, FALSE)</f>
        <v>4</v>
      </c>
      <c r="G24" t="s">
        <v>20</v>
      </c>
      <c r="H24">
        <f>VLOOKUP(I24,VLOOKUPS!$A$1:$B$5,2, FALSE)</f>
        <v>4</v>
      </c>
      <c r="I24" t="s">
        <v>20</v>
      </c>
      <c r="J24">
        <f>VLOOKUP(K24,VLOOKUPS!$A$1:$B$5,2, FALSE)</f>
        <v>4</v>
      </c>
      <c r="K24" t="s">
        <v>20</v>
      </c>
      <c r="L24">
        <f>VLOOKUP(M24,VLOOKUPS!$A$1:$B$5,2, FALSE)</f>
        <v>2</v>
      </c>
      <c r="M24" t="s">
        <v>15</v>
      </c>
      <c r="N24">
        <f>VLOOKUP(O24,VLOOKUPS!$A$1:$B$5,2, FALSE)</f>
        <v>3</v>
      </c>
      <c r="O24" t="s">
        <v>16</v>
      </c>
      <c r="P24">
        <f>VLOOKUP(Q24,VLOOKUPS!$A$1:$B$5,2, FALSE)</f>
        <v>3</v>
      </c>
      <c r="Q24" t="s">
        <v>16</v>
      </c>
      <c r="R24">
        <f>VLOOKUP(S24,VLOOKUPS!$A$1:$B$5,2, FALSE)</f>
        <v>4</v>
      </c>
      <c r="S24" t="s">
        <v>20</v>
      </c>
      <c r="T24">
        <f>VLOOKUP(U24,VLOOKUPS!$A$1:$B$5,2, FALSE)</f>
        <v>3</v>
      </c>
      <c r="U24" t="s">
        <v>16</v>
      </c>
      <c r="V24">
        <f>VLOOKUP(W24,VLOOKUPS!$D$1:$E$31,2, FALSE)</f>
        <v>19</v>
      </c>
      <c r="W24" t="s">
        <v>63</v>
      </c>
      <c r="X24">
        <f>VLOOKUP(Y24,VLOOKUPS!$G$1:$H$3,2, FALSE)</f>
        <v>0</v>
      </c>
      <c r="Y24" t="s">
        <v>17</v>
      </c>
    </row>
    <row r="25" spans="1:25" x14ac:dyDescent="0.2">
      <c r="A25" t="s">
        <v>64</v>
      </c>
      <c r="B25">
        <f>VLOOKUP(C25,VLOOKUPS!$A$1:$B$5,2, FALSE)</f>
        <v>4</v>
      </c>
      <c r="C25" t="s">
        <v>20</v>
      </c>
      <c r="D25">
        <f>VLOOKUP(E25,VLOOKUPS!$A$1:$B$5,2, FALSE)</f>
        <v>4</v>
      </c>
      <c r="E25" t="s">
        <v>20</v>
      </c>
      <c r="F25">
        <f>VLOOKUP(G25,VLOOKUPS!$A$1:$B$5,2, FALSE)</f>
        <v>2</v>
      </c>
      <c r="G25" t="s">
        <v>15</v>
      </c>
      <c r="H25">
        <f>VLOOKUP(I25,VLOOKUPS!$A$1:$B$5,2, FALSE)</f>
        <v>4</v>
      </c>
      <c r="I25" t="s">
        <v>20</v>
      </c>
      <c r="J25">
        <f>VLOOKUP(K25,VLOOKUPS!$A$1:$B$5,2, FALSE)</f>
        <v>1</v>
      </c>
      <c r="K25" t="s">
        <v>23</v>
      </c>
      <c r="L25">
        <f>VLOOKUP(M25,VLOOKUPS!$A$1:$B$5,2, FALSE)</f>
        <v>4</v>
      </c>
      <c r="M25" t="s">
        <v>20</v>
      </c>
      <c r="N25">
        <f>VLOOKUP(O25,VLOOKUPS!$A$1:$B$5,2, FALSE)</f>
        <v>2</v>
      </c>
      <c r="O25" t="s">
        <v>15</v>
      </c>
      <c r="P25">
        <f>VLOOKUP(Q25,VLOOKUPS!$A$1:$B$5,2, FALSE)</f>
        <v>4</v>
      </c>
      <c r="Q25" t="s">
        <v>20</v>
      </c>
      <c r="R25">
        <f>VLOOKUP(S25,VLOOKUPS!$A$1:$B$5,2, FALSE)</f>
        <v>5</v>
      </c>
      <c r="S25" t="s">
        <v>14</v>
      </c>
      <c r="T25">
        <f>VLOOKUP(U25,VLOOKUPS!$A$1:$B$5,2, FALSE)</f>
        <v>5</v>
      </c>
      <c r="U25" t="s">
        <v>14</v>
      </c>
      <c r="V25">
        <f>VLOOKUP(W25,VLOOKUPS!$D$1:$E$31,2, FALSE)</f>
        <v>1</v>
      </c>
      <c r="W25" t="s">
        <v>24</v>
      </c>
      <c r="X25">
        <f>VLOOKUP(Y25,VLOOKUPS!$G$1:$H$3,2, FALSE)</f>
        <v>1</v>
      </c>
      <c r="Y25" t="s">
        <v>18</v>
      </c>
    </row>
    <row r="26" spans="1:25" x14ac:dyDescent="0.2">
      <c r="A26" t="s">
        <v>65</v>
      </c>
      <c r="B26">
        <f>VLOOKUP(C26,VLOOKUPS!$A$1:$B$5,2, FALSE)</f>
        <v>4</v>
      </c>
      <c r="C26" t="s">
        <v>20</v>
      </c>
      <c r="D26">
        <f>VLOOKUP(E26,VLOOKUPS!$A$1:$B$5,2, FALSE)</f>
        <v>5</v>
      </c>
      <c r="E26" t="s">
        <v>14</v>
      </c>
      <c r="F26">
        <f>VLOOKUP(G26,VLOOKUPS!$A$1:$B$5,2, FALSE)</f>
        <v>5</v>
      </c>
      <c r="G26" t="s">
        <v>14</v>
      </c>
      <c r="H26">
        <f>VLOOKUP(I26,VLOOKUPS!$A$1:$B$5,2, FALSE)</f>
        <v>2</v>
      </c>
      <c r="I26" t="s">
        <v>15</v>
      </c>
      <c r="J26">
        <f>VLOOKUP(K26,VLOOKUPS!$A$1:$B$5,2, FALSE)</f>
        <v>4</v>
      </c>
      <c r="K26" t="s">
        <v>20</v>
      </c>
      <c r="L26">
        <f>VLOOKUP(M26,VLOOKUPS!$A$1:$B$5,2, FALSE)</f>
        <v>4</v>
      </c>
      <c r="M26" t="s">
        <v>20</v>
      </c>
      <c r="N26">
        <f>VLOOKUP(O26,VLOOKUPS!$A$1:$B$5,2, FALSE)</f>
        <v>5</v>
      </c>
      <c r="O26" t="s">
        <v>14</v>
      </c>
      <c r="P26">
        <f>VLOOKUP(Q26,VLOOKUPS!$A$1:$B$5,2, FALSE)</f>
        <v>5</v>
      </c>
      <c r="Q26" t="s">
        <v>14</v>
      </c>
      <c r="R26">
        <f>VLOOKUP(S26,VLOOKUPS!$A$1:$B$5,2, FALSE)</f>
        <v>5</v>
      </c>
      <c r="S26" t="s">
        <v>14</v>
      </c>
      <c r="T26">
        <f>VLOOKUP(U26,VLOOKUPS!$A$1:$B$5,2, FALSE)</f>
        <v>5</v>
      </c>
      <c r="U26" t="s">
        <v>14</v>
      </c>
      <c r="V26">
        <f>VLOOKUP(W26,VLOOKUPS!$D$1:$E$31,2, FALSE)</f>
        <v>20</v>
      </c>
      <c r="W26" t="s">
        <v>66</v>
      </c>
      <c r="X26">
        <f>VLOOKUP(Y26,VLOOKUPS!$G$1:$H$3,2, FALSE)</f>
        <v>0</v>
      </c>
      <c r="Y26" t="s">
        <v>17</v>
      </c>
    </row>
    <row r="27" spans="1:25" x14ac:dyDescent="0.2">
      <c r="A27" t="s">
        <v>67</v>
      </c>
      <c r="B27">
        <f>VLOOKUP(C27,VLOOKUPS!$A$1:$B$5,2, FALSE)</f>
        <v>2</v>
      </c>
      <c r="C27" t="s">
        <v>15</v>
      </c>
      <c r="D27">
        <f>VLOOKUP(E27,VLOOKUPS!$A$1:$B$5,2, FALSE)</f>
        <v>2</v>
      </c>
      <c r="E27" t="s">
        <v>15</v>
      </c>
      <c r="F27">
        <f>VLOOKUP(G27,VLOOKUPS!$A$1:$B$5,2, FALSE)</f>
        <v>4</v>
      </c>
      <c r="G27" t="s">
        <v>20</v>
      </c>
      <c r="H27">
        <f>VLOOKUP(I27,VLOOKUPS!$A$1:$B$5,2, FALSE)</f>
        <v>4</v>
      </c>
      <c r="I27" t="s">
        <v>20</v>
      </c>
      <c r="J27">
        <f>VLOOKUP(K27,VLOOKUPS!$A$1:$B$5,2, FALSE)</f>
        <v>4</v>
      </c>
      <c r="K27" t="s">
        <v>20</v>
      </c>
      <c r="L27">
        <f>VLOOKUP(M27,VLOOKUPS!$A$1:$B$5,2, FALSE)</f>
        <v>4</v>
      </c>
      <c r="M27" t="s">
        <v>20</v>
      </c>
      <c r="N27">
        <f>VLOOKUP(O27,VLOOKUPS!$A$1:$B$5,2, FALSE)</f>
        <v>4</v>
      </c>
      <c r="O27" t="s">
        <v>20</v>
      </c>
      <c r="P27">
        <f>VLOOKUP(Q27,VLOOKUPS!$A$1:$B$5,2, FALSE)</f>
        <v>5</v>
      </c>
      <c r="Q27" t="s">
        <v>14</v>
      </c>
      <c r="R27">
        <f>VLOOKUP(S27,VLOOKUPS!$A$1:$B$5,2, FALSE)</f>
        <v>4</v>
      </c>
      <c r="S27" t="s">
        <v>20</v>
      </c>
      <c r="T27">
        <f>VLOOKUP(U27,VLOOKUPS!$A$1:$B$5,2, FALSE)</f>
        <v>4</v>
      </c>
      <c r="U27" t="s">
        <v>20</v>
      </c>
      <c r="V27">
        <f>VLOOKUP(W27,VLOOKUPS!$D$1:$E$31,2, FALSE)</f>
        <v>21</v>
      </c>
      <c r="W27" t="s">
        <v>68</v>
      </c>
      <c r="X27">
        <f>VLOOKUP(Y27,VLOOKUPS!$G$1:$H$3,2, FALSE)</f>
        <v>0</v>
      </c>
      <c r="Y27" t="s">
        <v>17</v>
      </c>
    </row>
    <row r="28" spans="1:25" x14ac:dyDescent="0.2">
      <c r="A28" t="s">
        <v>69</v>
      </c>
      <c r="B28">
        <f>VLOOKUP(C28,VLOOKUPS!$A$1:$B$5,2, FALSE)</f>
        <v>3</v>
      </c>
      <c r="C28" t="s">
        <v>16</v>
      </c>
      <c r="D28">
        <f>VLOOKUP(E28,VLOOKUPS!$A$1:$B$5,2, FALSE)</f>
        <v>3</v>
      </c>
      <c r="E28" t="s">
        <v>16</v>
      </c>
      <c r="F28">
        <f>VLOOKUP(G28,VLOOKUPS!$A$1:$B$5,2, FALSE)</f>
        <v>4</v>
      </c>
      <c r="G28" t="s">
        <v>20</v>
      </c>
      <c r="H28">
        <f>VLOOKUP(I28,VLOOKUPS!$A$1:$B$5,2, FALSE)</f>
        <v>4</v>
      </c>
      <c r="I28" t="s">
        <v>20</v>
      </c>
      <c r="J28">
        <f>VLOOKUP(K28,VLOOKUPS!$A$1:$B$5,2, FALSE)</f>
        <v>4</v>
      </c>
      <c r="K28" t="s">
        <v>20</v>
      </c>
      <c r="L28">
        <f>VLOOKUP(M28,VLOOKUPS!$A$1:$B$5,2, FALSE)</f>
        <v>4</v>
      </c>
      <c r="M28" t="s">
        <v>20</v>
      </c>
      <c r="N28">
        <f>VLOOKUP(O28,VLOOKUPS!$A$1:$B$5,2, FALSE)</f>
        <v>4</v>
      </c>
      <c r="O28" t="s">
        <v>20</v>
      </c>
      <c r="P28">
        <f>VLOOKUP(Q28,VLOOKUPS!$A$1:$B$5,2, FALSE)</f>
        <v>5</v>
      </c>
      <c r="Q28" t="s">
        <v>14</v>
      </c>
      <c r="R28">
        <f>VLOOKUP(S28,VLOOKUPS!$A$1:$B$5,2, FALSE)</f>
        <v>4</v>
      </c>
      <c r="S28" t="s">
        <v>20</v>
      </c>
      <c r="T28">
        <f>VLOOKUP(U28,VLOOKUPS!$A$1:$B$5,2, FALSE)</f>
        <v>4</v>
      </c>
      <c r="U28" t="s">
        <v>20</v>
      </c>
      <c r="V28">
        <f>VLOOKUP(W28,VLOOKUPS!$D$1:$E$31,2, FALSE)</f>
        <v>22</v>
      </c>
      <c r="W28" t="s">
        <v>70</v>
      </c>
      <c r="X28">
        <f>VLOOKUP(Y28,VLOOKUPS!$G$1:$H$3,2, FALSE)</f>
        <v>0</v>
      </c>
      <c r="Y28" t="s">
        <v>17</v>
      </c>
    </row>
    <row r="29" spans="1:25" x14ac:dyDescent="0.2">
      <c r="A29" t="s">
        <v>71</v>
      </c>
      <c r="B29">
        <f>VLOOKUP(C29,VLOOKUPS!$A$1:$B$5,2, FALSE)</f>
        <v>2</v>
      </c>
      <c r="C29" t="s">
        <v>15</v>
      </c>
      <c r="D29">
        <f>VLOOKUP(E29,VLOOKUPS!$A$1:$B$5,2, FALSE)</f>
        <v>2</v>
      </c>
      <c r="E29" t="s">
        <v>15</v>
      </c>
      <c r="F29">
        <f>VLOOKUP(G29,VLOOKUPS!$A$1:$B$5,2, FALSE)</f>
        <v>4</v>
      </c>
      <c r="G29" t="s">
        <v>20</v>
      </c>
      <c r="H29">
        <f>VLOOKUP(I29,VLOOKUPS!$A$1:$B$5,2, FALSE)</f>
        <v>2</v>
      </c>
      <c r="I29" t="s">
        <v>15</v>
      </c>
      <c r="J29">
        <f>VLOOKUP(K29,VLOOKUPS!$A$1:$B$5,2, FALSE)</f>
        <v>1</v>
      </c>
      <c r="K29" t="s">
        <v>23</v>
      </c>
      <c r="L29">
        <f>VLOOKUP(M29,VLOOKUPS!$A$1:$B$5,2, FALSE)</f>
        <v>2</v>
      </c>
      <c r="M29" t="s">
        <v>15</v>
      </c>
      <c r="N29">
        <f>VLOOKUP(O29,VLOOKUPS!$A$1:$B$5,2, FALSE)</f>
        <v>4</v>
      </c>
      <c r="O29" t="s">
        <v>20</v>
      </c>
      <c r="P29">
        <f>VLOOKUP(Q29,VLOOKUPS!$A$1:$B$5,2, FALSE)</f>
        <v>5</v>
      </c>
      <c r="Q29" t="s">
        <v>14</v>
      </c>
      <c r="R29">
        <f>VLOOKUP(S29,VLOOKUPS!$A$1:$B$5,2, FALSE)</f>
        <v>5</v>
      </c>
      <c r="S29" t="s">
        <v>14</v>
      </c>
      <c r="T29">
        <f>VLOOKUP(U29,VLOOKUPS!$A$1:$B$5,2, FALSE)</f>
        <v>2</v>
      </c>
      <c r="U29" t="s">
        <v>15</v>
      </c>
      <c r="V29">
        <f>VLOOKUP(W29,VLOOKUPS!$D$1:$E$31,2, FALSE)</f>
        <v>23</v>
      </c>
      <c r="W29" t="s">
        <v>72</v>
      </c>
      <c r="X29">
        <f>VLOOKUP(Y29,VLOOKUPS!$G$1:$H$3,2, FALSE)</f>
        <v>0</v>
      </c>
      <c r="Y29" t="s">
        <v>17</v>
      </c>
    </row>
    <row r="30" spans="1:25" x14ac:dyDescent="0.2">
      <c r="A30" t="s">
        <v>73</v>
      </c>
      <c r="B30">
        <f>VLOOKUP(C30,VLOOKUPS!$A$1:$B$5,2, FALSE)</f>
        <v>4</v>
      </c>
      <c r="C30" t="s">
        <v>20</v>
      </c>
      <c r="D30">
        <f>VLOOKUP(E30,VLOOKUPS!$A$1:$B$5,2, FALSE)</f>
        <v>4</v>
      </c>
      <c r="E30" t="s">
        <v>20</v>
      </c>
      <c r="F30">
        <f>VLOOKUP(G30,VLOOKUPS!$A$1:$B$5,2, FALSE)</f>
        <v>3</v>
      </c>
      <c r="G30" t="s">
        <v>16</v>
      </c>
      <c r="H30">
        <f>VLOOKUP(I30,VLOOKUPS!$A$1:$B$5,2, FALSE)</f>
        <v>4</v>
      </c>
      <c r="I30" t="s">
        <v>20</v>
      </c>
      <c r="J30">
        <f>VLOOKUP(K30,VLOOKUPS!$A$1:$B$5,2, FALSE)</f>
        <v>3</v>
      </c>
      <c r="K30" t="s">
        <v>16</v>
      </c>
      <c r="L30">
        <f>VLOOKUP(M30,VLOOKUPS!$A$1:$B$5,2, FALSE)</f>
        <v>3</v>
      </c>
      <c r="M30" t="s">
        <v>16</v>
      </c>
      <c r="N30">
        <f>VLOOKUP(O30,VLOOKUPS!$A$1:$B$5,2, FALSE)</f>
        <v>3</v>
      </c>
      <c r="O30" t="s">
        <v>16</v>
      </c>
      <c r="P30">
        <f>VLOOKUP(Q30,VLOOKUPS!$A$1:$B$5,2, FALSE)</f>
        <v>5</v>
      </c>
      <c r="Q30" t="s">
        <v>14</v>
      </c>
      <c r="R30">
        <f>VLOOKUP(S30,VLOOKUPS!$A$1:$B$5,2, FALSE)</f>
        <v>3</v>
      </c>
      <c r="S30" t="s">
        <v>16</v>
      </c>
      <c r="T30">
        <f>VLOOKUP(U30,VLOOKUPS!$A$1:$B$5,2, FALSE)</f>
        <v>3</v>
      </c>
      <c r="U30" t="s">
        <v>16</v>
      </c>
      <c r="V30">
        <f>VLOOKUP(W30,VLOOKUPS!$D$1:$E$31,2, FALSE)</f>
        <v>24</v>
      </c>
      <c r="W30" t="s">
        <v>74</v>
      </c>
      <c r="X30">
        <f>VLOOKUP(Y30,VLOOKUPS!$G$1:$H$3,2, FALSE)</f>
        <v>0</v>
      </c>
      <c r="Y30" t="s">
        <v>17</v>
      </c>
    </row>
    <row r="31" spans="1:25" x14ac:dyDescent="0.2">
      <c r="A31" t="s">
        <v>75</v>
      </c>
      <c r="B31">
        <f>VLOOKUP(C31,VLOOKUPS!$A$1:$B$5,2, FALSE)</f>
        <v>3</v>
      </c>
      <c r="C31" t="s">
        <v>16</v>
      </c>
      <c r="D31">
        <f>VLOOKUP(E31,VLOOKUPS!$A$1:$B$5,2, FALSE)</f>
        <v>1</v>
      </c>
      <c r="E31" t="s">
        <v>23</v>
      </c>
      <c r="F31">
        <f>VLOOKUP(G31,VLOOKUPS!$A$1:$B$5,2, FALSE)</f>
        <v>4</v>
      </c>
      <c r="G31" t="s">
        <v>20</v>
      </c>
      <c r="H31">
        <f>VLOOKUP(I31,VLOOKUPS!$A$1:$B$5,2, FALSE)</f>
        <v>1</v>
      </c>
      <c r="I31" t="s">
        <v>23</v>
      </c>
      <c r="J31">
        <f>VLOOKUP(K31,VLOOKUPS!$A$1:$B$5,2, FALSE)</f>
        <v>1</v>
      </c>
      <c r="K31" t="s">
        <v>23</v>
      </c>
      <c r="L31">
        <f>VLOOKUP(M31,VLOOKUPS!$A$1:$B$5,2, FALSE)</f>
        <v>4</v>
      </c>
      <c r="M31" t="s">
        <v>20</v>
      </c>
      <c r="N31">
        <f>VLOOKUP(O31,VLOOKUPS!$A$1:$B$5,2, FALSE)</f>
        <v>4</v>
      </c>
      <c r="O31" t="s">
        <v>20</v>
      </c>
      <c r="P31">
        <f>VLOOKUP(Q31,VLOOKUPS!$A$1:$B$5,2, FALSE)</f>
        <v>4</v>
      </c>
      <c r="Q31" t="s">
        <v>20</v>
      </c>
      <c r="R31">
        <f>VLOOKUP(S31,VLOOKUPS!$A$1:$B$5,2, FALSE)</f>
        <v>5</v>
      </c>
      <c r="S31" t="s">
        <v>14</v>
      </c>
      <c r="T31">
        <f>VLOOKUP(U31,VLOOKUPS!$A$1:$B$5,2, FALSE)</f>
        <v>4</v>
      </c>
      <c r="U31" t="s">
        <v>20</v>
      </c>
      <c r="V31">
        <f>VLOOKUP(W31,VLOOKUPS!$D$1:$E$31,2, FALSE)</f>
        <v>25</v>
      </c>
      <c r="W31" t="s">
        <v>76</v>
      </c>
      <c r="X31">
        <f>VLOOKUP(Y31,VLOOKUPS!$G$1:$H$3,2, FALSE)</f>
        <v>0</v>
      </c>
      <c r="Y31" t="s">
        <v>17</v>
      </c>
    </row>
    <row r="32" spans="1:25" x14ac:dyDescent="0.2">
      <c r="A32" t="s">
        <v>77</v>
      </c>
      <c r="B32">
        <f>VLOOKUP(C32,VLOOKUPS!$A$1:$B$5,2, FALSE)</f>
        <v>2</v>
      </c>
      <c r="C32" t="s">
        <v>15</v>
      </c>
      <c r="D32">
        <f>VLOOKUP(E32,VLOOKUPS!$A$1:$B$5,2, FALSE)</f>
        <v>3</v>
      </c>
      <c r="E32" t="s">
        <v>16</v>
      </c>
      <c r="F32">
        <f>VLOOKUP(G32,VLOOKUPS!$A$1:$B$5,2, FALSE)</f>
        <v>4</v>
      </c>
      <c r="G32" t="s">
        <v>20</v>
      </c>
      <c r="H32">
        <f>VLOOKUP(I32,VLOOKUPS!$A$1:$B$5,2, FALSE)</f>
        <v>4</v>
      </c>
      <c r="I32" t="s">
        <v>20</v>
      </c>
      <c r="J32">
        <f>VLOOKUP(K32,VLOOKUPS!$A$1:$B$5,2, FALSE)</f>
        <v>1</v>
      </c>
      <c r="K32" t="s">
        <v>23</v>
      </c>
      <c r="L32">
        <f>VLOOKUP(M32,VLOOKUPS!$A$1:$B$5,2, FALSE)</f>
        <v>4</v>
      </c>
      <c r="M32" t="s">
        <v>20</v>
      </c>
      <c r="N32">
        <f>VLOOKUP(O32,VLOOKUPS!$A$1:$B$5,2, FALSE)</f>
        <v>4</v>
      </c>
      <c r="O32" t="s">
        <v>20</v>
      </c>
      <c r="P32">
        <f>VLOOKUP(Q32,VLOOKUPS!$A$1:$B$5,2, FALSE)</f>
        <v>4</v>
      </c>
      <c r="Q32" t="s">
        <v>20</v>
      </c>
      <c r="R32">
        <f>VLOOKUP(S32,VLOOKUPS!$A$1:$B$5,2, FALSE)</f>
        <v>5</v>
      </c>
      <c r="S32" t="s">
        <v>14</v>
      </c>
      <c r="T32">
        <f>VLOOKUP(U32,VLOOKUPS!$A$1:$B$5,2, FALSE)</f>
        <v>5</v>
      </c>
      <c r="U32" t="s">
        <v>14</v>
      </c>
      <c r="V32">
        <f>VLOOKUP(W32,VLOOKUPS!$D$1:$E$31,2, FALSE)</f>
        <v>26</v>
      </c>
      <c r="W32" t="s">
        <v>78</v>
      </c>
      <c r="X32">
        <f>VLOOKUP(Y32,VLOOKUPS!$G$1:$H$3,2, FALSE)</f>
        <v>0</v>
      </c>
      <c r="Y32" t="s">
        <v>17</v>
      </c>
    </row>
    <row r="33" spans="1:25" x14ac:dyDescent="0.2">
      <c r="A33" t="s">
        <v>79</v>
      </c>
      <c r="B33">
        <f>VLOOKUP(C33,VLOOKUPS!$A$1:$B$5,2, FALSE)</f>
        <v>4</v>
      </c>
      <c r="C33" t="s">
        <v>20</v>
      </c>
      <c r="D33">
        <f>VLOOKUP(E33,VLOOKUPS!$A$1:$B$5,2, FALSE)</f>
        <v>4</v>
      </c>
      <c r="E33" t="s">
        <v>20</v>
      </c>
      <c r="F33">
        <f>VLOOKUP(G33,VLOOKUPS!$A$1:$B$5,2, FALSE)</f>
        <v>2</v>
      </c>
      <c r="G33" t="s">
        <v>15</v>
      </c>
      <c r="H33">
        <f>VLOOKUP(I33,VLOOKUPS!$A$1:$B$5,2, FALSE)</f>
        <v>3</v>
      </c>
      <c r="I33" t="s">
        <v>16</v>
      </c>
      <c r="J33">
        <f>VLOOKUP(K33,VLOOKUPS!$A$1:$B$5,2, FALSE)</f>
        <v>2</v>
      </c>
      <c r="K33" t="s">
        <v>15</v>
      </c>
      <c r="L33">
        <f>VLOOKUP(M33,VLOOKUPS!$A$1:$B$5,2, FALSE)</f>
        <v>1</v>
      </c>
      <c r="M33" t="s">
        <v>23</v>
      </c>
      <c r="N33">
        <f>VLOOKUP(O33,VLOOKUPS!$A$1:$B$5,2, FALSE)</f>
        <v>3</v>
      </c>
      <c r="O33" t="s">
        <v>16</v>
      </c>
      <c r="P33">
        <f>VLOOKUP(Q33,VLOOKUPS!$A$1:$B$5,2, FALSE)</f>
        <v>3</v>
      </c>
      <c r="Q33" t="s">
        <v>16</v>
      </c>
      <c r="R33">
        <f>VLOOKUP(S33,VLOOKUPS!$A$1:$B$5,2, FALSE)</f>
        <v>5</v>
      </c>
      <c r="S33" t="s">
        <v>14</v>
      </c>
      <c r="T33">
        <f>VLOOKUP(U33,VLOOKUPS!$A$1:$B$5,2, FALSE)</f>
        <v>5</v>
      </c>
      <c r="U33" t="s">
        <v>14</v>
      </c>
      <c r="V33">
        <f>VLOOKUP(W33,VLOOKUPS!$D$1:$E$31,2, FALSE)</f>
        <v>27</v>
      </c>
      <c r="W33" t="s">
        <v>80</v>
      </c>
      <c r="X33">
        <f>VLOOKUP(Y33,VLOOKUPS!$G$1:$H$3,2, FALSE)</f>
        <v>0</v>
      </c>
      <c r="Y33" t="s">
        <v>17</v>
      </c>
    </row>
    <row r="34" spans="1:25" x14ac:dyDescent="0.2">
      <c r="A34" t="s">
        <v>81</v>
      </c>
      <c r="B34">
        <f>VLOOKUP(C34,VLOOKUPS!$A$1:$B$5,2, FALSE)</f>
        <v>4</v>
      </c>
      <c r="C34" t="s">
        <v>20</v>
      </c>
      <c r="D34">
        <f>VLOOKUP(E34,VLOOKUPS!$A$1:$B$5,2, FALSE)</f>
        <v>4</v>
      </c>
      <c r="E34" t="s">
        <v>20</v>
      </c>
      <c r="F34">
        <f>VLOOKUP(G34,VLOOKUPS!$A$1:$B$5,2, FALSE)</f>
        <v>2</v>
      </c>
      <c r="G34" t="s">
        <v>15</v>
      </c>
      <c r="H34">
        <f>VLOOKUP(I34,VLOOKUPS!$A$1:$B$5,2, FALSE)</f>
        <v>2</v>
      </c>
      <c r="I34" t="s">
        <v>15</v>
      </c>
      <c r="J34">
        <f>VLOOKUP(K34,VLOOKUPS!$A$1:$B$5,2, FALSE)</f>
        <v>3</v>
      </c>
      <c r="K34" t="s">
        <v>16</v>
      </c>
      <c r="L34">
        <f>VLOOKUP(M34,VLOOKUPS!$A$1:$B$5,2, FALSE)</f>
        <v>2</v>
      </c>
      <c r="M34" t="s">
        <v>15</v>
      </c>
      <c r="N34">
        <f>VLOOKUP(O34,VLOOKUPS!$A$1:$B$5,2, FALSE)</f>
        <v>2</v>
      </c>
      <c r="O34" t="s">
        <v>15</v>
      </c>
      <c r="P34">
        <f>VLOOKUP(Q34,VLOOKUPS!$A$1:$B$5,2, FALSE)</f>
        <v>4</v>
      </c>
      <c r="Q34" t="s">
        <v>20</v>
      </c>
      <c r="R34">
        <f>VLOOKUP(S34,VLOOKUPS!$A$1:$B$5,2, FALSE)</f>
        <v>5</v>
      </c>
      <c r="S34" t="s">
        <v>14</v>
      </c>
      <c r="T34">
        <f>VLOOKUP(U34,VLOOKUPS!$A$1:$B$5,2, FALSE)</f>
        <v>5</v>
      </c>
      <c r="U34" t="s">
        <v>14</v>
      </c>
      <c r="V34">
        <f>VLOOKUP(W34,VLOOKUPS!$D$1:$E$31,2, FALSE)</f>
        <v>18</v>
      </c>
      <c r="W34" t="s">
        <v>61</v>
      </c>
      <c r="X34">
        <f>VLOOKUP(Y34,VLOOKUPS!$G$1:$H$3,2, FALSE)</f>
        <v>2</v>
      </c>
      <c r="Y34" t="s">
        <v>13</v>
      </c>
    </row>
    <row r="35" spans="1:25" x14ac:dyDescent="0.2">
      <c r="A35" t="s">
        <v>82</v>
      </c>
      <c r="B35">
        <f>VLOOKUP(C35,VLOOKUPS!$A$1:$B$5,2, FALSE)</f>
        <v>5</v>
      </c>
      <c r="C35" t="s">
        <v>14</v>
      </c>
      <c r="D35">
        <f>VLOOKUP(E35,VLOOKUPS!$A$1:$B$5,2, FALSE)</f>
        <v>4</v>
      </c>
      <c r="E35" t="s">
        <v>20</v>
      </c>
      <c r="F35">
        <f>VLOOKUP(G35,VLOOKUPS!$A$1:$B$5,2, FALSE)</f>
        <v>4</v>
      </c>
      <c r="G35" t="s">
        <v>20</v>
      </c>
      <c r="H35">
        <f>VLOOKUP(I35,VLOOKUPS!$A$1:$B$5,2, FALSE)</f>
        <v>4</v>
      </c>
      <c r="I35" t="s">
        <v>20</v>
      </c>
      <c r="J35">
        <f>VLOOKUP(K35,VLOOKUPS!$A$1:$B$5,2, FALSE)</f>
        <v>4</v>
      </c>
      <c r="K35" t="s">
        <v>20</v>
      </c>
      <c r="L35">
        <f>VLOOKUP(M35,VLOOKUPS!$A$1:$B$5,2, FALSE)</f>
        <v>2</v>
      </c>
      <c r="M35" t="s">
        <v>15</v>
      </c>
      <c r="N35">
        <f>VLOOKUP(O35,VLOOKUPS!$A$1:$B$5,2, FALSE)</f>
        <v>4</v>
      </c>
      <c r="O35" t="s">
        <v>20</v>
      </c>
      <c r="P35">
        <f>VLOOKUP(Q35,VLOOKUPS!$A$1:$B$5,2, FALSE)</f>
        <v>5</v>
      </c>
      <c r="Q35" t="s">
        <v>14</v>
      </c>
      <c r="R35">
        <f>VLOOKUP(S35,VLOOKUPS!$A$1:$B$5,2, FALSE)</f>
        <v>5</v>
      </c>
      <c r="S35" t="s">
        <v>14</v>
      </c>
      <c r="T35">
        <f>VLOOKUP(U35,VLOOKUPS!$A$1:$B$5,2, FALSE)</f>
        <v>5</v>
      </c>
      <c r="U35" t="s">
        <v>14</v>
      </c>
      <c r="V35">
        <f>VLOOKUP(W35,VLOOKUPS!$D$1:$E$31,2, FALSE)</f>
        <v>2</v>
      </c>
      <c r="W35" t="s">
        <v>26</v>
      </c>
      <c r="X35">
        <f>VLOOKUP(Y35,VLOOKUPS!$G$1:$H$3,2, FALSE)</f>
        <v>1</v>
      </c>
      <c r="Y35" t="s">
        <v>18</v>
      </c>
    </row>
    <row r="36" spans="1:25" x14ac:dyDescent="0.2">
      <c r="A36" t="s">
        <v>83</v>
      </c>
      <c r="B36">
        <f>VLOOKUP(C36,VLOOKUPS!$A$1:$B$5,2, FALSE)</f>
        <v>4</v>
      </c>
      <c r="C36" t="s">
        <v>20</v>
      </c>
      <c r="D36">
        <f>VLOOKUP(E36,VLOOKUPS!$A$1:$B$5,2, FALSE)</f>
        <v>4</v>
      </c>
      <c r="E36" t="s">
        <v>20</v>
      </c>
      <c r="F36">
        <f>VLOOKUP(G36,VLOOKUPS!$A$1:$B$5,2, FALSE)</f>
        <v>3</v>
      </c>
      <c r="G36" t="s">
        <v>16</v>
      </c>
      <c r="H36">
        <f>VLOOKUP(I36,VLOOKUPS!$A$1:$B$5,2, FALSE)</f>
        <v>3</v>
      </c>
      <c r="I36" t="s">
        <v>16</v>
      </c>
      <c r="J36">
        <f>VLOOKUP(K36,VLOOKUPS!$A$1:$B$5,2, FALSE)</f>
        <v>5</v>
      </c>
      <c r="K36" t="s">
        <v>14</v>
      </c>
      <c r="L36">
        <f>VLOOKUP(M36,VLOOKUPS!$A$1:$B$5,2, FALSE)</f>
        <v>1</v>
      </c>
      <c r="M36" t="s">
        <v>23</v>
      </c>
      <c r="N36">
        <f>VLOOKUP(O36,VLOOKUPS!$A$1:$B$5,2, FALSE)</f>
        <v>4</v>
      </c>
      <c r="O36" t="s">
        <v>20</v>
      </c>
      <c r="P36">
        <f>VLOOKUP(Q36,VLOOKUPS!$A$1:$B$5,2, FALSE)</f>
        <v>3</v>
      </c>
      <c r="Q36" t="s">
        <v>16</v>
      </c>
      <c r="R36">
        <f>VLOOKUP(S36,VLOOKUPS!$A$1:$B$5,2, FALSE)</f>
        <v>3</v>
      </c>
      <c r="S36" t="s">
        <v>16</v>
      </c>
      <c r="T36">
        <f>VLOOKUP(U36,VLOOKUPS!$A$1:$B$5,2, FALSE)</f>
        <v>3</v>
      </c>
      <c r="U36" t="s">
        <v>16</v>
      </c>
      <c r="V36">
        <f>VLOOKUP(W36,VLOOKUPS!$D$1:$E$31,2, FALSE)</f>
        <v>8</v>
      </c>
      <c r="W36" t="s">
        <v>39</v>
      </c>
      <c r="X36">
        <f>VLOOKUP(Y36,VLOOKUPS!$G$1:$H$3,2, FALSE)</f>
        <v>2</v>
      </c>
      <c r="Y36" t="s">
        <v>13</v>
      </c>
    </row>
    <row r="37" spans="1:25" x14ac:dyDescent="0.2">
      <c r="A37" t="s">
        <v>84</v>
      </c>
      <c r="B37">
        <f>VLOOKUP(C37,VLOOKUPS!$A$1:$B$5,2, FALSE)</f>
        <v>3</v>
      </c>
      <c r="C37" t="s">
        <v>16</v>
      </c>
      <c r="D37">
        <f>VLOOKUP(E37,VLOOKUPS!$A$1:$B$5,2, FALSE)</f>
        <v>3</v>
      </c>
      <c r="E37" t="s">
        <v>16</v>
      </c>
      <c r="F37">
        <f>VLOOKUP(G37,VLOOKUPS!$A$1:$B$5,2, FALSE)</f>
        <v>3</v>
      </c>
      <c r="G37" t="s">
        <v>16</v>
      </c>
      <c r="H37">
        <f>VLOOKUP(I37,VLOOKUPS!$A$1:$B$5,2, FALSE)</f>
        <v>4</v>
      </c>
      <c r="I37" t="s">
        <v>20</v>
      </c>
      <c r="J37">
        <f>VLOOKUP(K37,VLOOKUPS!$A$1:$B$5,2, FALSE)</f>
        <v>3</v>
      </c>
      <c r="K37" t="s">
        <v>16</v>
      </c>
      <c r="L37">
        <f>VLOOKUP(M37,VLOOKUPS!$A$1:$B$5,2, FALSE)</f>
        <v>4</v>
      </c>
      <c r="M37" t="s">
        <v>20</v>
      </c>
      <c r="N37">
        <f>VLOOKUP(O37,VLOOKUPS!$A$1:$B$5,2, FALSE)</f>
        <v>4</v>
      </c>
      <c r="O37" t="s">
        <v>20</v>
      </c>
      <c r="P37">
        <f>VLOOKUP(Q37,VLOOKUPS!$A$1:$B$5,2, FALSE)</f>
        <v>4</v>
      </c>
      <c r="Q37" t="s">
        <v>20</v>
      </c>
      <c r="R37">
        <f>VLOOKUP(S37,VLOOKUPS!$A$1:$B$5,2, FALSE)</f>
        <v>4</v>
      </c>
      <c r="S37" t="s">
        <v>20</v>
      </c>
      <c r="T37">
        <f>VLOOKUP(U37,VLOOKUPS!$A$1:$B$5,2, FALSE)</f>
        <v>4</v>
      </c>
      <c r="U37" t="s">
        <v>20</v>
      </c>
      <c r="V37">
        <f>VLOOKUP(W37,VLOOKUPS!$D$1:$E$31,2, FALSE)</f>
        <v>28</v>
      </c>
      <c r="W37" t="s">
        <v>85</v>
      </c>
      <c r="X37">
        <f>VLOOKUP(Y37,VLOOKUPS!$G$1:$H$3,2, FALSE)</f>
        <v>2</v>
      </c>
      <c r="Y37" t="s">
        <v>13</v>
      </c>
    </row>
    <row r="38" spans="1:25" x14ac:dyDescent="0.2">
      <c r="A38" t="s">
        <v>86</v>
      </c>
      <c r="B38">
        <f>VLOOKUP(C38,VLOOKUPS!$A$1:$B$5,2, FALSE)</f>
        <v>5</v>
      </c>
      <c r="C38" t="s">
        <v>14</v>
      </c>
      <c r="D38">
        <f>VLOOKUP(E38,VLOOKUPS!$A$1:$B$5,2, FALSE)</f>
        <v>3</v>
      </c>
      <c r="E38" t="s">
        <v>16</v>
      </c>
      <c r="F38">
        <f>VLOOKUP(G38,VLOOKUPS!$A$1:$B$5,2, FALSE)</f>
        <v>4</v>
      </c>
      <c r="G38" t="s">
        <v>20</v>
      </c>
      <c r="H38">
        <f>VLOOKUP(I38,VLOOKUPS!$A$1:$B$5,2, FALSE)</f>
        <v>3</v>
      </c>
      <c r="I38" t="s">
        <v>16</v>
      </c>
      <c r="J38">
        <f>VLOOKUP(K38,VLOOKUPS!$A$1:$B$5,2, FALSE)</f>
        <v>3</v>
      </c>
      <c r="K38" t="s">
        <v>16</v>
      </c>
      <c r="L38">
        <f>VLOOKUP(M38,VLOOKUPS!$A$1:$B$5,2, FALSE)</f>
        <v>2</v>
      </c>
      <c r="M38" t="s">
        <v>15</v>
      </c>
      <c r="N38">
        <f>VLOOKUP(O38,VLOOKUPS!$A$1:$B$5,2, FALSE)</f>
        <v>3</v>
      </c>
      <c r="O38" t="s">
        <v>16</v>
      </c>
      <c r="P38">
        <f>VLOOKUP(Q38,VLOOKUPS!$A$1:$B$5,2, FALSE)</f>
        <v>4</v>
      </c>
      <c r="Q38" t="s">
        <v>20</v>
      </c>
      <c r="R38">
        <f>VLOOKUP(S38,VLOOKUPS!$A$1:$B$5,2, FALSE)</f>
        <v>5</v>
      </c>
      <c r="S38" t="s">
        <v>14</v>
      </c>
      <c r="T38">
        <f>VLOOKUP(U38,VLOOKUPS!$A$1:$B$5,2, FALSE)</f>
        <v>5</v>
      </c>
      <c r="U38" t="s">
        <v>14</v>
      </c>
      <c r="V38">
        <f>VLOOKUP(W38,VLOOKUPS!$D$1:$E$31,2, FALSE)</f>
        <v>15</v>
      </c>
      <c r="W38" t="s">
        <v>55</v>
      </c>
      <c r="X38">
        <f>VLOOKUP(Y38,VLOOKUPS!$G$1:$H$3,2, FALSE)</f>
        <v>2</v>
      </c>
      <c r="Y38" t="s">
        <v>13</v>
      </c>
    </row>
    <row r="39" spans="1:25" x14ac:dyDescent="0.2">
      <c r="A39" t="s">
        <v>87</v>
      </c>
      <c r="B39">
        <f>VLOOKUP(C39,VLOOKUPS!$A$1:$B$5,2, FALSE)</f>
        <v>3</v>
      </c>
      <c r="C39" t="s">
        <v>16</v>
      </c>
      <c r="D39">
        <f>VLOOKUP(E39,VLOOKUPS!$A$1:$B$5,2, FALSE)</f>
        <v>2</v>
      </c>
      <c r="E39" t="s">
        <v>15</v>
      </c>
      <c r="F39">
        <f>VLOOKUP(G39,VLOOKUPS!$A$1:$B$5,2, FALSE)</f>
        <v>4</v>
      </c>
      <c r="G39" t="s">
        <v>20</v>
      </c>
      <c r="H39">
        <f>VLOOKUP(I39,VLOOKUPS!$A$1:$B$5,2, FALSE)</f>
        <v>4</v>
      </c>
      <c r="I39" t="s">
        <v>20</v>
      </c>
      <c r="J39">
        <f>VLOOKUP(K39,VLOOKUPS!$A$1:$B$5,2, FALSE)</f>
        <v>4</v>
      </c>
      <c r="K39" t="s">
        <v>20</v>
      </c>
      <c r="L39">
        <f>VLOOKUP(M39,VLOOKUPS!$A$1:$B$5,2, FALSE)</f>
        <v>4</v>
      </c>
      <c r="M39" t="s">
        <v>20</v>
      </c>
      <c r="N39">
        <f>VLOOKUP(O39,VLOOKUPS!$A$1:$B$5,2, FALSE)</f>
        <v>4</v>
      </c>
      <c r="O39" t="s">
        <v>20</v>
      </c>
      <c r="P39">
        <f>VLOOKUP(Q39,VLOOKUPS!$A$1:$B$5,2, FALSE)</f>
        <v>4</v>
      </c>
      <c r="Q39" t="s">
        <v>20</v>
      </c>
      <c r="R39">
        <f>VLOOKUP(S39,VLOOKUPS!$A$1:$B$5,2, FALSE)</f>
        <v>4</v>
      </c>
      <c r="S39" t="s">
        <v>20</v>
      </c>
      <c r="T39">
        <f>VLOOKUP(U39,VLOOKUPS!$A$1:$B$5,2, FALSE)</f>
        <v>4</v>
      </c>
      <c r="U39" t="s">
        <v>20</v>
      </c>
      <c r="V39">
        <f>VLOOKUP(W39,VLOOKUPS!$D$1:$E$31,2, FALSE)</f>
        <v>29</v>
      </c>
      <c r="W39" t="s">
        <v>88</v>
      </c>
      <c r="X39">
        <f>VLOOKUP(Y39,VLOOKUPS!$G$1:$H$3,2, FALSE)</f>
        <v>0</v>
      </c>
      <c r="Y39" t="s">
        <v>17</v>
      </c>
    </row>
    <row r="40" spans="1:25" x14ac:dyDescent="0.2">
      <c r="A40" t="s">
        <v>89</v>
      </c>
      <c r="B40">
        <f>VLOOKUP(C40,VLOOKUPS!$A$1:$B$5,2, FALSE)</f>
        <v>4</v>
      </c>
      <c r="C40" t="s">
        <v>20</v>
      </c>
      <c r="D40">
        <f>VLOOKUP(E40,VLOOKUPS!$A$1:$B$5,2, FALSE)</f>
        <v>2</v>
      </c>
      <c r="E40" t="s">
        <v>15</v>
      </c>
      <c r="F40">
        <f>VLOOKUP(G40,VLOOKUPS!$A$1:$B$5,2, FALSE)</f>
        <v>1</v>
      </c>
      <c r="G40" t="s">
        <v>23</v>
      </c>
      <c r="H40">
        <f>VLOOKUP(I40,VLOOKUPS!$A$1:$B$5,2, FALSE)</f>
        <v>2</v>
      </c>
      <c r="I40" t="s">
        <v>15</v>
      </c>
      <c r="J40">
        <f>VLOOKUP(K40,VLOOKUPS!$A$1:$B$5,2, FALSE)</f>
        <v>4</v>
      </c>
      <c r="K40" t="s">
        <v>20</v>
      </c>
      <c r="L40">
        <f>VLOOKUP(M40,VLOOKUPS!$A$1:$B$5,2, FALSE)</f>
        <v>2</v>
      </c>
      <c r="M40" t="s">
        <v>15</v>
      </c>
      <c r="N40">
        <f>VLOOKUP(O40,VLOOKUPS!$A$1:$B$5,2, FALSE)</f>
        <v>1</v>
      </c>
      <c r="O40" t="s">
        <v>23</v>
      </c>
      <c r="P40">
        <f>VLOOKUP(Q40,VLOOKUPS!$A$1:$B$5,2, FALSE)</f>
        <v>3</v>
      </c>
      <c r="Q40" t="s">
        <v>16</v>
      </c>
      <c r="R40">
        <f>VLOOKUP(S40,VLOOKUPS!$A$1:$B$5,2, FALSE)</f>
        <v>3</v>
      </c>
      <c r="S40" t="s">
        <v>16</v>
      </c>
      <c r="T40">
        <f>VLOOKUP(U40,VLOOKUPS!$A$1:$B$5,2, FALSE)</f>
        <v>2</v>
      </c>
      <c r="U40" t="s">
        <v>15</v>
      </c>
      <c r="V40">
        <f>VLOOKUP(W40,VLOOKUPS!$D$1:$E$31,2, FALSE)</f>
        <v>20</v>
      </c>
      <c r="W40" t="s">
        <v>66</v>
      </c>
      <c r="X40">
        <f>VLOOKUP(Y40,VLOOKUPS!$G$1:$H$3,2, FALSE)</f>
        <v>2</v>
      </c>
      <c r="Y40" t="s">
        <v>13</v>
      </c>
    </row>
    <row r="41" spans="1:25" x14ac:dyDescent="0.2">
      <c r="A41" t="s">
        <v>90</v>
      </c>
      <c r="B41">
        <f>VLOOKUP(C41,VLOOKUPS!$A$1:$B$5,2, FALSE)</f>
        <v>3</v>
      </c>
      <c r="C41" t="s">
        <v>16</v>
      </c>
      <c r="D41">
        <f>VLOOKUP(E41,VLOOKUPS!$A$1:$B$5,2, FALSE)</f>
        <v>2</v>
      </c>
      <c r="E41" t="s">
        <v>15</v>
      </c>
      <c r="F41">
        <f>VLOOKUP(G41,VLOOKUPS!$A$1:$B$5,2, FALSE)</f>
        <v>3</v>
      </c>
      <c r="G41" t="s">
        <v>16</v>
      </c>
      <c r="H41">
        <f>VLOOKUP(I41,VLOOKUPS!$A$1:$B$5,2, FALSE)</f>
        <v>3</v>
      </c>
      <c r="I41" t="s">
        <v>16</v>
      </c>
      <c r="J41">
        <f>VLOOKUP(K41,VLOOKUPS!$A$1:$B$5,2, FALSE)</f>
        <v>1</v>
      </c>
      <c r="K41" t="s">
        <v>23</v>
      </c>
      <c r="L41">
        <f>VLOOKUP(M41,VLOOKUPS!$A$1:$B$5,2, FALSE)</f>
        <v>2</v>
      </c>
      <c r="M41" t="s">
        <v>15</v>
      </c>
      <c r="N41">
        <f>VLOOKUP(O41,VLOOKUPS!$A$1:$B$5,2, FALSE)</f>
        <v>2</v>
      </c>
      <c r="O41" t="s">
        <v>15</v>
      </c>
      <c r="P41">
        <f>VLOOKUP(Q41,VLOOKUPS!$A$1:$B$5,2, FALSE)</f>
        <v>4</v>
      </c>
      <c r="Q41" t="s">
        <v>20</v>
      </c>
      <c r="R41">
        <f>VLOOKUP(S41,VLOOKUPS!$A$1:$B$5,2, FALSE)</f>
        <v>4</v>
      </c>
      <c r="S41" t="s">
        <v>20</v>
      </c>
      <c r="T41">
        <f>VLOOKUP(U41,VLOOKUPS!$A$1:$B$5,2, FALSE)</f>
        <v>3</v>
      </c>
      <c r="U41" t="s">
        <v>16</v>
      </c>
      <c r="V41">
        <f>VLOOKUP(W41,VLOOKUPS!$D$1:$E$31,2, FALSE)</f>
        <v>23</v>
      </c>
      <c r="W41" t="s">
        <v>72</v>
      </c>
      <c r="X41">
        <f>VLOOKUP(Y41,VLOOKUPS!$G$1:$H$3,2, FALSE)</f>
        <v>2</v>
      </c>
      <c r="Y41" t="s">
        <v>13</v>
      </c>
    </row>
    <row r="42" spans="1:25" x14ac:dyDescent="0.2">
      <c r="A42" t="s">
        <v>91</v>
      </c>
      <c r="B42">
        <f>VLOOKUP(C42,VLOOKUPS!$A$1:$B$5,2, FALSE)</f>
        <v>4</v>
      </c>
      <c r="C42" t="s">
        <v>20</v>
      </c>
      <c r="D42">
        <f>VLOOKUP(E42,VLOOKUPS!$A$1:$B$5,2, FALSE)</f>
        <v>4</v>
      </c>
      <c r="E42" t="s">
        <v>20</v>
      </c>
      <c r="F42">
        <f>VLOOKUP(G42,VLOOKUPS!$A$1:$B$5,2, FALSE)</f>
        <v>4</v>
      </c>
      <c r="G42" t="s">
        <v>20</v>
      </c>
      <c r="H42">
        <f>VLOOKUP(I42,VLOOKUPS!$A$1:$B$5,2, FALSE)</f>
        <v>4</v>
      </c>
      <c r="I42" t="s">
        <v>20</v>
      </c>
      <c r="J42">
        <f>VLOOKUP(K42,VLOOKUPS!$A$1:$B$5,2, FALSE)</f>
        <v>4</v>
      </c>
      <c r="K42" t="s">
        <v>20</v>
      </c>
      <c r="L42">
        <f>VLOOKUP(M42,VLOOKUPS!$A$1:$B$5,2, FALSE)</f>
        <v>2</v>
      </c>
      <c r="M42" t="s">
        <v>15</v>
      </c>
      <c r="N42">
        <f>VLOOKUP(O42,VLOOKUPS!$A$1:$B$5,2, FALSE)</f>
        <v>2</v>
      </c>
      <c r="O42" t="s">
        <v>15</v>
      </c>
      <c r="P42">
        <f>VLOOKUP(Q42,VLOOKUPS!$A$1:$B$5,2, FALSE)</f>
        <v>4</v>
      </c>
      <c r="Q42" t="s">
        <v>20</v>
      </c>
      <c r="R42">
        <f>VLOOKUP(S42,VLOOKUPS!$A$1:$B$5,2, FALSE)</f>
        <v>4</v>
      </c>
      <c r="S42" t="s">
        <v>20</v>
      </c>
      <c r="T42">
        <f>VLOOKUP(U42,VLOOKUPS!$A$1:$B$5,2, FALSE)</f>
        <v>4</v>
      </c>
      <c r="U42" t="s">
        <v>20</v>
      </c>
      <c r="V42">
        <f>VLOOKUP(W42,VLOOKUPS!$D$1:$E$31,2, FALSE)</f>
        <v>11</v>
      </c>
      <c r="W42" t="s">
        <v>46</v>
      </c>
      <c r="X42">
        <f>VLOOKUP(Y42,VLOOKUPS!$G$1:$H$3,2, FALSE)</f>
        <v>2</v>
      </c>
      <c r="Y42" t="s">
        <v>13</v>
      </c>
    </row>
    <row r="43" spans="1:25" x14ac:dyDescent="0.2">
      <c r="A43" t="s">
        <v>92</v>
      </c>
      <c r="B43">
        <f>VLOOKUP(C43,VLOOKUPS!$A$1:$B$5,2, FALSE)</f>
        <v>3</v>
      </c>
      <c r="C43" t="s">
        <v>16</v>
      </c>
      <c r="D43">
        <f>VLOOKUP(E43,VLOOKUPS!$A$1:$B$5,2, FALSE)</f>
        <v>3</v>
      </c>
      <c r="E43" t="s">
        <v>16</v>
      </c>
      <c r="F43">
        <f>VLOOKUP(G43,VLOOKUPS!$A$1:$B$5,2, FALSE)</f>
        <v>3</v>
      </c>
      <c r="G43" t="s">
        <v>16</v>
      </c>
      <c r="H43">
        <f>VLOOKUP(I43,VLOOKUPS!$A$1:$B$5,2, FALSE)</f>
        <v>2</v>
      </c>
      <c r="I43" t="s">
        <v>15</v>
      </c>
      <c r="J43">
        <f>VLOOKUP(K43,VLOOKUPS!$A$1:$B$5,2, FALSE)</f>
        <v>3</v>
      </c>
      <c r="K43" t="s">
        <v>16</v>
      </c>
      <c r="L43">
        <f>VLOOKUP(M43,VLOOKUPS!$A$1:$B$5,2, FALSE)</f>
        <v>2</v>
      </c>
      <c r="M43" t="s">
        <v>15</v>
      </c>
      <c r="N43">
        <f>VLOOKUP(O43,VLOOKUPS!$A$1:$B$5,2, FALSE)</f>
        <v>3</v>
      </c>
      <c r="O43" t="s">
        <v>16</v>
      </c>
      <c r="P43">
        <f>VLOOKUP(Q43,VLOOKUPS!$A$1:$B$5,2, FALSE)</f>
        <v>3</v>
      </c>
      <c r="Q43" t="s">
        <v>16</v>
      </c>
      <c r="R43">
        <f>VLOOKUP(S43,VLOOKUPS!$A$1:$B$5,2, FALSE)</f>
        <v>3</v>
      </c>
      <c r="S43" t="s">
        <v>16</v>
      </c>
      <c r="T43">
        <f>VLOOKUP(U43,VLOOKUPS!$A$1:$B$5,2, FALSE)</f>
        <v>3</v>
      </c>
      <c r="U43" t="s">
        <v>16</v>
      </c>
      <c r="V43">
        <f>VLOOKUP(W43,VLOOKUPS!$D$1:$E$31,2, FALSE)</f>
        <v>30</v>
      </c>
      <c r="W43" t="s">
        <v>93</v>
      </c>
      <c r="X43">
        <f>VLOOKUP(Y43,VLOOKUPS!$G$1:$H$3,2, FALSE)</f>
        <v>0</v>
      </c>
      <c r="Y43" t="s">
        <v>17</v>
      </c>
    </row>
    <row r="44" spans="1:25" x14ac:dyDescent="0.2">
      <c r="A44" t="s">
        <v>94</v>
      </c>
      <c r="B44">
        <f>VLOOKUP(C44,VLOOKUPS!$A$1:$B$5,2, FALSE)</f>
        <v>5</v>
      </c>
      <c r="C44" t="s">
        <v>14</v>
      </c>
      <c r="D44">
        <f>VLOOKUP(E44,VLOOKUPS!$A$1:$B$5,2, FALSE)</f>
        <v>4</v>
      </c>
      <c r="E44" t="s">
        <v>20</v>
      </c>
      <c r="F44">
        <f>VLOOKUP(G44,VLOOKUPS!$A$1:$B$5,2, FALSE)</f>
        <v>4</v>
      </c>
      <c r="G44" t="s">
        <v>20</v>
      </c>
      <c r="H44">
        <f>VLOOKUP(I44,VLOOKUPS!$A$1:$B$5,2, FALSE)</f>
        <v>4</v>
      </c>
      <c r="I44" t="s">
        <v>20</v>
      </c>
      <c r="J44">
        <f>VLOOKUP(K44,VLOOKUPS!$A$1:$B$5,2, FALSE)</f>
        <v>4</v>
      </c>
      <c r="K44" t="s">
        <v>20</v>
      </c>
      <c r="L44">
        <f>VLOOKUP(M44,VLOOKUPS!$A$1:$B$5,2, FALSE)</f>
        <v>5</v>
      </c>
      <c r="M44" t="s">
        <v>14</v>
      </c>
      <c r="N44">
        <f>VLOOKUP(O44,VLOOKUPS!$A$1:$B$5,2, FALSE)</f>
        <v>5</v>
      </c>
      <c r="O44" t="s">
        <v>14</v>
      </c>
      <c r="P44">
        <f>VLOOKUP(Q44,VLOOKUPS!$A$1:$B$5,2, FALSE)</f>
        <v>5</v>
      </c>
      <c r="Q44" t="s">
        <v>14</v>
      </c>
      <c r="R44">
        <f>VLOOKUP(S44,VLOOKUPS!$A$1:$B$5,2, FALSE)</f>
        <v>5</v>
      </c>
      <c r="S44" t="s">
        <v>14</v>
      </c>
      <c r="T44">
        <f>VLOOKUP(U44,VLOOKUPS!$A$1:$B$5,2, FALSE)</f>
        <v>5</v>
      </c>
      <c r="U44" t="s">
        <v>14</v>
      </c>
      <c r="V44">
        <f>VLOOKUP(W44,VLOOKUPS!$D$1:$E$31,2, FALSE)</f>
        <v>3</v>
      </c>
      <c r="W44" t="s">
        <v>28</v>
      </c>
      <c r="X44">
        <f>VLOOKUP(Y44,VLOOKUPS!$G$1:$H$3,2, FALSE)</f>
        <v>2</v>
      </c>
      <c r="Y44" t="s">
        <v>13</v>
      </c>
    </row>
    <row r="45" spans="1:25" x14ac:dyDescent="0.2">
      <c r="A45" t="s">
        <v>95</v>
      </c>
      <c r="B45">
        <f>VLOOKUP(C45,VLOOKUPS!$A$1:$B$5,2, FALSE)</f>
        <v>3</v>
      </c>
      <c r="C45" t="s">
        <v>16</v>
      </c>
      <c r="D45">
        <f>VLOOKUP(E45,VLOOKUPS!$A$1:$B$5,2, FALSE)</f>
        <v>1</v>
      </c>
      <c r="E45" t="s">
        <v>23</v>
      </c>
      <c r="F45">
        <f>VLOOKUP(G45,VLOOKUPS!$A$1:$B$5,2, FALSE)</f>
        <v>3</v>
      </c>
      <c r="G45" t="s">
        <v>16</v>
      </c>
      <c r="H45">
        <f>VLOOKUP(I45,VLOOKUPS!$A$1:$B$5,2, FALSE)</f>
        <v>3</v>
      </c>
      <c r="I45" t="s">
        <v>16</v>
      </c>
      <c r="J45">
        <f>VLOOKUP(K45,VLOOKUPS!$A$1:$B$5,2, FALSE)</f>
        <v>3</v>
      </c>
      <c r="K45" t="s">
        <v>16</v>
      </c>
      <c r="L45">
        <f>VLOOKUP(M45,VLOOKUPS!$A$1:$B$5,2, FALSE)</f>
        <v>4</v>
      </c>
      <c r="M45" t="s">
        <v>20</v>
      </c>
      <c r="N45">
        <f>VLOOKUP(O45,VLOOKUPS!$A$1:$B$5,2, FALSE)</f>
        <v>4</v>
      </c>
      <c r="O45" t="s">
        <v>20</v>
      </c>
      <c r="P45">
        <f>VLOOKUP(Q45,VLOOKUPS!$A$1:$B$5,2, FALSE)</f>
        <v>4</v>
      </c>
      <c r="Q45" t="s">
        <v>20</v>
      </c>
      <c r="R45">
        <f>VLOOKUP(S45,VLOOKUPS!$A$1:$B$5,2, FALSE)</f>
        <v>3</v>
      </c>
      <c r="S45" t="s">
        <v>16</v>
      </c>
      <c r="T45">
        <f>VLOOKUP(U45,VLOOKUPS!$A$1:$B$5,2, FALSE)</f>
        <v>2</v>
      </c>
      <c r="U45" t="s">
        <v>15</v>
      </c>
      <c r="V45">
        <f>VLOOKUP(W45,VLOOKUPS!$D$1:$E$31,2, FALSE)</f>
        <v>14</v>
      </c>
      <c r="W45" t="s">
        <v>53</v>
      </c>
      <c r="X45">
        <f>VLOOKUP(Y45,VLOOKUPS!$G$1:$H$3,2, FALSE)</f>
        <v>2</v>
      </c>
      <c r="Y45" t="s">
        <v>13</v>
      </c>
    </row>
    <row r="46" spans="1:25" x14ac:dyDescent="0.2">
      <c r="A46" t="s">
        <v>96</v>
      </c>
      <c r="B46">
        <f>VLOOKUP(C46,VLOOKUPS!$A$1:$B$5,2, FALSE)</f>
        <v>5</v>
      </c>
      <c r="C46" t="s">
        <v>14</v>
      </c>
      <c r="D46">
        <f>VLOOKUP(E46,VLOOKUPS!$A$1:$B$5,2, FALSE)</f>
        <v>4</v>
      </c>
      <c r="E46" t="s">
        <v>20</v>
      </c>
      <c r="F46">
        <f>VLOOKUP(G46,VLOOKUPS!$A$1:$B$5,2, FALSE)</f>
        <v>4</v>
      </c>
      <c r="G46" t="s">
        <v>20</v>
      </c>
      <c r="H46">
        <f>VLOOKUP(I46,VLOOKUPS!$A$1:$B$5,2, FALSE)</f>
        <v>4</v>
      </c>
      <c r="I46" t="s">
        <v>20</v>
      </c>
      <c r="J46">
        <f>VLOOKUP(K46,VLOOKUPS!$A$1:$B$5,2, FALSE)</f>
        <v>4</v>
      </c>
      <c r="K46" t="s">
        <v>20</v>
      </c>
      <c r="L46">
        <f>VLOOKUP(M46,VLOOKUPS!$A$1:$B$5,2, FALSE)</f>
        <v>4</v>
      </c>
      <c r="M46" t="s">
        <v>20</v>
      </c>
      <c r="N46">
        <f>VLOOKUP(O46,VLOOKUPS!$A$1:$B$5,2, FALSE)</f>
        <v>5</v>
      </c>
      <c r="O46" t="s">
        <v>14</v>
      </c>
      <c r="P46">
        <f>VLOOKUP(Q46,VLOOKUPS!$A$1:$B$5,2, FALSE)</f>
        <v>5</v>
      </c>
      <c r="Q46" t="s">
        <v>14</v>
      </c>
      <c r="R46">
        <f>VLOOKUP(S46,VLOOKUPS!$A$1:$B$5,2, FALSE)</f>
        <v>4</v>
      </c>
      <c r="S46" t="s">
        <v>20</v>
      </c>
      <c r="T46">
        <f>VLOOKUP(U46,VLOOKUPS!$A$1:$B$5,2, FALSE)</f>
        <v>4</v>
      </c>
      <c r="U46" t="s">
        <v>20</v>
      </c>
      <c r="V46">
        <f>VLOOKUP(W46,VLOOKUPS!$D$1:$E$31,2, FALSE)</f>
        <v>2</v>
      </c>
      <c r="W46" t="s">
        <v>26</v>
      </c>
      <c r="X46">
        <f>VLOOKUP(Y46,VLOOKUPS!$G$1:$H$3,2, FALSE)</f>
        <v>2</v>
      </c>
      <c r="Y46" t="s">
        <v>13</v>
      </c>
    </row>
    <row r="47" spans="1:25" x14ac:dyDescent="0.2">
      <c r="A47" t="s">
        <v>97</v>
      </c>
      <c r="B47">
        <f>VLOOKUP(C47,VLOOKUPS!$A$1:$B$5,2, FALSE)</f>
        <v>3</v>
      </c>
      <c r="C47" t="s">
        <v>16</v>
      </c>
      <c r="D47">
        <f>VLOOKUP(E47,VLOOKUPS!$A$1:$B$5,2, FALSE)</f>
        <v>3</v>
      </c>
      <c r="E47" t="s">
        <v>16</v>
      </c>
      <c r="F47">
        <f>VLOOKUP(G47,VLOOKUPS!$A$1:$B$5,2, FALSE)</f>
        <v>4</v>
      </c>
      <c r="G47" t="s">
        <v>20</v>
      </c>
      <c r="H47">
        <f>VLOOKUP(I47,VLOOKUPS!$A$1:$B$5,2, FALSE)</f>
        <v>4</v>
      </c>
      <c r="I47" t="s">
        <v>20</v>
      </c>
      <c r="J47">
        <f>VLOOKUP(K47,VLOOKUPS!$A$1:$B$5,2, FALSE)</f>
        <v>2</v>
      </c>
      <c r="K47" t="s">
        <v>15</v>
      </c>
      <c r="L47">
        <f>VLOOKUP(M47,VLOOKUPS!$A$1:$B$5,2, FALSE)</f>
        <v>3</v>
      </c>
      <c r="M47" t="s">
        <v>16</v>
      </c>
      <c r="N47">
        <f>VLOOKUP(O47,VLOOKUPS!$A$1:$B$5,2, FALSE)</f>
        <v>4</v>
      </c>
      <c r="O47" t="s">
        <v>20</v>
      </c>
      <c r="P47">
        <f>VLOOKUP(Q47,VLOOKUPS!$A$1:$B$5,2, FALSE)</f>
        <v>4</v>
      </c>
      <c r="Q47" t="s">
        <v>20</v>
      </c>
      <c r="R47">
        <f>VLOOKUP(S47,VLOOKUPS!$A$1:$B$5,2, FALSE)</f>
        <v>4</v>
      </c>
      <c r="S47" t="s">
        <v>20</v>
      </c>
      <c r="T47">
        <f>VLOOKUP(U47,VLOOKUPS!$A$1:$B$5,2, FALSE)</f>
        <v>4</v>
      </c>
      <c r="U47" t="s">
        <v>20</v>
      </c>
      <c r="V47">
        <f>VLOOKUP(W47,VLOOKUPS!$D$1:$E$31,2, FALSE)</f>
        <v>5</v>
      </c>
      <c r="W47" t="s">
        <v>33</v>
      </c>
      <c r="X47">
        <f>VLOOKUP(Y47,VLOOKUPS!$G$1:$H$3,2, FALSE)</f>
        <v>2</v>
      </c>
      <c r="Y47" t="s">
        <v>13</v>
      </c>
    </row>
    <row r="48" spans="1:25" x14ac:dyDescent="0.2">
      <c r="A48" t="s">
        <v>98</v>
      </c>
      <c r="B48">
        <f>VLOOKUP(C48,VLOOKUPS!$A$1:$B$5,2, FALSE)</f>
        <v>4</v>
      </c>
      <c r="C48" t="s">
        <v>20</v>
      </c>
      <c r="D48">
        <f>VLOOKUP(E48,VLOOKUPS!$A$1:$B$5,2, FALSE)</f>
        <v>3</v>
      </c>
      <c r="E48" t="s">
        <v>16</v>
      </c>
      <c r="F48">
        <f>VLOOKUP(G48,VLOOKUPS!$A$1:$B$5,2, FALSE)</f>
        <v>5</v>
      </c>
      <c r="G48" t="s">
        <v>14</v>
      </c>
      <c r="H48">
        <f>VLOOKUP(I48,VLOOKUPS!$A$1:$B$5,2, FALSE)</f>
        <v>2</v>
      </c>
      <c r="I48" t="s">
        <v>15</v>
      </c>
      <c r="J48">
        <f>VLOOKUP(K48,VLOOKUPS!$A$1:$B$5,2, FALSE)</f>
        <v>2</v>
      </c>
      <c r="K48" t="s">
        <v>15</v>
      </c>
      <c r="L48">
        <f>VLOOKUP(M48,VLOOKUPS!$A$1:$B$5,2, FALSE)</f>
        <v>4</v>
      </c>
      <c r="M48" t="s">
        <v>20</v>
      </c>
      <c r="N48">
        <f>VLOOKUP(O48,VLOOKUPS!$A$1:$B$5,2, FALSE)</f>
        <v>5</v>
      </c>
      <c r="O48" t="s">
        <v>14</v>
      </c>
      <c r="P48">
        <f>VLOOKUP(Q48,VLOOKUPS!$A$1:$B$5,2, FALSE)</f>
        <v>5</v>
      </c>
      <c r="Q48" t="s">
        <v>14</v>
      </c>
      <c r="R48">
        <f>VLOOKUP(S48,VLOOKUPS!$A$1:$B$5,2, FALSE)</f>
        <v>5</v>
      </c>
      <c r="S48" t="s">
        <v>14</v>
      </c>
      <c r="T48">
        <f>VLOOKUP(U48,VLOOKUPS!$A$1:$B$5,2, FALSE)</f>
        <v>5</v>
      </c>
      <c r="U48" t="s">
        <v>14</v>
      </c>
      <c r="V48">
        <f>VLOOKUP(W48,VLOOKUPS!$D$1:$E$31,2, FALSE)</f>
        <v>26</v>
      </c>
      <c r="W48" t="s">
        <v>78</v>
      </c>
      <c r="X48">
        <f>VLOOKUP(Y48,VLOOKUPS!$G$1:$H$3,2, FALSE)</f>
        <v>2</v>
      </c>
      <c r="Y48" t="s">
        <v>13</v>
      </c>
    </row>
    <row r="49" spans="1:25" x14ac:dyDescent="0.2">
      <c r="A49" t="s">
        <v>98</v>
      </c>
      <c r="B49">
        <f>VLOOKUP(C49,VLOOKUPS!$A$1:$B$5,2, FALSE)</f>
        <v>5</v>
      </c>
      <c r="C49" t="s">
        <v>14</v>
      </c>
      <c r="D49">
        <f>VLOOKUP(E49,VLOOKUPS!$A$1:$B$5,2, FALSE)</f>
        <v>4</v>
      </c>
      <c r="E49" t="s">
        <v>20</v>
      </c>
      <c r="F49">
        <f>VLOOKUP(G49,VLOOKUPS!$A$1:$B$5,2, FALSE)</f>
        <v>4</v>
      </c>
      <c r="G49" t="s">
        <v>20</v>
      </c>
      <c r="H49">
        <f>VLOOKUP(I49,VLOOKUPS!$A$1:$B$5,2, FALSE)</f>
        <v>5</v>
      </c>
      <c r="I49" t="s">
        <v>14</v>
      </c>
      <c r="J49">
        <f>VLOOKUP(K49,VLOOKUPS!$A$1:$B$5,2, FALSE)</f>
        <v>5</v>
      </c>
      <c r="K49" t="s">
        <v>14</v>
      </c>
      <c r="L49">
        <f>VLOOKUP(M49,VLOOKUPS!$A$1:$B$5,2, FALSE)</f>
        <v>5</v>
      </c>
      <c r="M49" t="s">
        <v>14</v>
      </c>
      <c r="N49">
        <f>VLOOKUP(O49,VLOOKUPS!$A$1:$B$5,2, FALSE)</f>
        <v>5</v>
      </c>
      <c r="O49" t="s">
        <v>14</v>
      </c>
      <c r="P49">
        <f>VLOOKUP(Q49,VLOOKUPS!$A$1:$B$5,2, FALSE)</f>
        <v>5</v>
      </c>
      <c r="Q49" t="s">
        <v>14</v>
      </c>
      <c r="R49">
        <f>VLOOKUP(S49,VLOOKUPS!$A$1:$B$5,2, FALSE)</f>
        <v>5</v>
      </c>
      <c r="S49" t="s">
        <v>14</v>
      </c>
      <c r="T49">
        <f>VLOOKUP(U49,VLOOKUPS!$A$1:$B$5,2, FALSE)</f>
        <v>5</v>
      </c>
      <c r="U49" t="s">
        <v>14</v>
      </c>
      <c r="V49">
        <f>VLOOKUP(W49,VLOOKUPS!$D$1:$E$31,2, FALSE)</f>
        <v>17</v>
      </c>
      <c r="W49" t="s">
        <v>59</v>
      </c>
      <c r="X49">
        <f>VLOOKUP(Y49,VLOOKUPS!$G$1:$H$3,2, FALSE)</f>
        <v>2</v>
      </c>
      <c r="Y49" t="s">
        <v>13</v>
      </c>
    </row>
    <row r="50" spans="1:25" x14ac:dyDescent="0.2">
      <c r="A50" t="s">
        <v>99</v>
      </c>
      <c r="B50">
        <f>VLOOKUP(C50,VLOOKUPS!$A$1:$B$5,2, FALSE)</f>
        <v>4</v>
      </c>
      <c r="C50" t="s">
        <v>20</v>
      </c>
      <c r="D50">
        <f>VLOOKUP(E50,VLOOKUPS!$A$1:$B$5,2, FALSE)</f>
        <v>3</v>
      </c>
      <c r="E50" t="s">
        <v>16</v>
      </c>
      <c r="F50">
        <f>VLOOKUP(G50,VLOOKUPS!$A$1:$B$5,2, FALSE)</f>
        <v>2</v>
      </c>
      <c r="G50" t="s">
        <v>15</v>
      </c>
      <c r="H50">
        <f>VLOOKUP(I50,VLOOKUPS!$A$1:$B$5,2, FALSE)</f>
        <v>4</v>
      </c>
      <c r="I50" t="s">
        <v>20</v>
      </c>
      <c r="J50">
        <f>VLOOKUP(K50,VLOOKUPS!$A$1:$B$5,2, FALSE)</f>
        <v>2</v>
      </c>
      <c r="K50" t="s">
        <v>15</v>
      </c>
      <c r="L50">
        <f>VLOOKUP(M50,VLOOKUPS!$A$1:$B$5,2, FALSE)</f>
        <v>2</v>
      </c>
      <c r="M50" t="s">
        <v>15</v>
      </c>
      <c r="N50">
        <f>VLOOKUP(O50,VLOOKUPS!$A$1:$B$5,2, FALSE)</f>
        <v>3</v>
      </c>
      <c r="O50" t="s">
        <v>16</v>
      </c>
      <c r="P50">
        <f>VLOOKUP(Q50,VLOOKUPS!$A$1:$B$5,2, FALSE)</f>
        <v>4</v>
      </c>
      <c r="Q50" t="s">
        <v>20</v>
      </c>
      <c r="R50">
        <f>VLOOKUP(S50,VLOOKUPS!$A$1:$B$5,2, FALSE)</f>
        <v>5</v>
      </c>
      <c r="S50" t="s">
        <v>14</v>
      </c>
      <c r="T50">
        <f>VLOOKUP(U50,VLOOKUPS!$A$1:$B$5,2, FALSE)</f>
        <v>5</v>
      </c>
      <c r="U50" t="s">
        <v>14</v>
      </c>
      <c r="V50">
        <f>VLOOKUP(W50,VLOOKUPS!$D$1:$E$31,2, FALSE)</f>
        <v>13</v>
      </c>
      <c r="W50" t="s">
        <v>50</v>
      </c>
      <c r="X50">
        <f>VLOOKUP(Y50,VLOOKUPS!$G$1:$H$3,2, FALSE)</f>
        <v>2</v>
      </c>
      <c r="Y50" t="s">
        <v>13</v>
      </c>
    </row>
    <row r="51" spans="1:25" x14ac:dyDescent="0.2">
      <c r="A51" t="s">
        <v>100</v>
      </c>
      <c r="B51">
        <f>VLOOKUP(C51,VLOOKUPS!$A$1:$B$5,2, FALSE)</f>
        <v>3</v>
      </c>
      <c r="C51" t="s">
        <v>16</v>
      </c>
      <c r="D51">
        <f>VLOOKUP(E51,VLOOKUPS!$A$1:$B$5,2, FALSE)</f>
        <v>2</v>
      </c>
      <c r="E51" t="s">
        <v>15</v>
      </c>
      <c r="F51">
        <f>VLOOKUP(G51,VLOOKUPS!$A$1:$B$5,2, FALSE)</f>
        <v>4</v>
      </c>
      <c r="G51" t="s">
        <v>20</v>
      </c>
      <c r="H51">
        <f>VLOOKUP(I51,VLOOKUPS!$A$1:$B$5,2, FALSE)</f>
        <v>3</v>
      </c>
      <c r="I51" t="s">
        <v>16</v>
      </c>
      <c r="J51">
        <f>VLOOKUP(K51,VLOOKUPS!$A$1:$B$5,2, FALSE)</f>
        <v>1</v>
      </c>
      <c r="K51" t="s">
        <v>23</v>
      </c>
      <c r="L51">
        <f>VLOOKUP(M51,VLOOKUPS!$A$1:$B$5,2, FALSE)</f>
        <v>4</v>
      </c>
      <c r="M51" t="s">
        <v>20</v>
      </c>
      <c r="N51">
        <f>VLOOKUP(O51,VLOOKUPS!$A$1:$B$5,2, FALSE)</f>
        <v>4</v>
      </c>
      <c r="O51" t="s">
        <v>20</v>
      </c>
      <c r="P51">
        <f>VLOOKUP(Q51,VLOOKUPS!$A$1:$B$5,2, FALSE)</f>
        <v>4</v>
      </c>
      <c r="Q51" t="s">
        <v>20</v>
      </c>
      <c r="R51">
        <f>VLOOKUP(S51,VLOOKUPS!$A$1:$B$5,2, FALSE)</f>
        <v>5</v>
      </c>
      <c r="S51" t="s">
        <v>14</v>
      </c>
      <c r="T51">
        <f>VLOOKUP(U51,VLOOKUPS!$A$1:$B$5,2, FALSE)</f>
        <v>4</v>
      </c>
      <c r="U51" t="s">
        <v>20</v>
      </c>
      <c r="V51">
        <f>VLOOKUP(W51,VLOOKUPS!$D$1:$E$31,2, FALSE)</f>
        <v>23</v>
      </c>
      <c r="W51" t="s">
        <v>72</v>
      </c>
      <c r="X51">
        <f>VLOOKUP(Y51,VLOOKUPS!$G$1:$H$3,2, FALSE)</f>
        <v>2</v>
      </c>
      <c r="Y51" t="s">
        <v>13</v>
      </c>
    </row>
    <row r="52" spans="1:25" x14ac:dyDescent="0.2">
      <c r="A52" t="s">
        <v>101</v>
      </c>
      <c r="B52">
        <f>VLOOKUP(C52,VLOOKUPS!$A$1:$B$5,2, FALSE)</f>
        <v>3</v>
      </c>
      <c r="C52" t="s">
        <v>16</v>
      </c>
      <c r="D52">
        <f>VLOOKUP(E52,VLOOKUPS!$A$1:$B$5,2, FALSE)</f>
        <v>3</v>
      </c>
      <c r="E52" t="s">
        <v>16</v>
      </c>
      <c r="F52">
        <f>VLOOKUP(G52,VLOOKUPS!$A$1:$B$5,2, FALSE)</f>
        <v>3</v>
      </c>
      <c r="G52" t="s">
        <v>16</v>
      </c>
      <c r="H52">
        <f>VLOOKUP(I52,VLOOKUPS!$A$1:$B$5,2, FALSE)</f>
        <v>4</v>
      </c>
      <c r="I52" t="s">
        <v>20</v>
      </c>
      <c r="J52">
        <f>VLOOKUP(K52,VLOOKUPS!$A$1:$B$5,2, FALSE)</f>
        <v>3</v>
      </c>
      <c r="K52" t="s">
        <v>16</v>
      </c>
      <c r="L52">
        <f>VLOOKUP(M52,VLOOKUPS!$A$1:$B$5,2, FALSE)</f>
        <v>3</v>
      </c>
      <c r="M52" t="s">
        <v>16</v>
      </c>
      <c r="N52">
        <f>VLOOKUP(O52,VLOOKUPS!$A$1:$B$5,2, FALSE)</f>
        <v>3</v>
      </c>
      <c r="O52" t="s">
        <v>16</v>
      </c>
      <c r="P52">
        <f>VLOOKUP(Q52,VLOOKUPS!$A$1:$B$5,2, FALSE)</f>
        <v>4</v>
      </c>
      <c r="Q52" t="s">
        <v>20</v>
      </c>
      <c r="R52">
        <f>VLOOKUP(S52,VLOOKUPS!$A$1:$B$5,2, FALSE)</f>
        <v>3</v>
      </c>
      <c r="S52" t="s">
        <v>16</v>
      </c>
      <c r="T52">
        <f>VLOOKUP(U52,VLOOKUPS!$A$1:$B$5,2, FALSE)</f>
        <v>3</v>
      </c>
      <c r="U52" t="s">
        <v>16</v>
      </c>
      <c r="V52">
        <f>VLOOKUP(W52,VLOOKUPS!$D$1:$E$31,2, FALSE)</f>
        <v>24</v>
      </c>
      <c r="W52" t="s">
        <v>74</v>
      </c>
      <c r="X52">
        <f>VLOOKUP(Y52,VLOOKUPS!$G$1:$H$3,2, FALSE)</f>
        <v>2</v>
      </c>
      <c r="Y52" t="s">
        <v>13</v>
      </c>
    </row>
    <row r="53" spans="1:25" x14ac:dyDescent="0.2">
      <c r="A53" t="s">
        <v>102</v>
      </c>
      <c r="B53">
        <f>VLOOKUP(C53,VLOOKUPS!$A$1:$B$5,2, FALSE)</f>
        <v>3</v>
      </c>
      <c r="C53" t="s">
        <v>16</v>
      </c>
      <c r="D53">
        <f>VLOOKUP(E53,VLOOKUPS!$A$1:$B$5,2, FALSE)</f>
        <v>2</v>
      </c>
      <c r="E53" t="s">
        <v>15</v>
      </c>
      <c r="F53">
        <f>VLOOKUP(G53,VLOOKUPS!$A$1:$B$5,2, FALSE)</f>
        <v>4</v>
      </c>
      <c r="G53" t="s">
        <v>20</v>
      </c>
      <c r="H53">
        <f>VLOOKUP(I53,VLOOKUPS!$A$1:$B$5,2, FALSE)</f>
        <v>1</v>
      </c>
      <c r="I53" t="s">
        <v>23</v>
      </c>
      <c r="J53">
        <f>VLOOKUP(K53,VLOOKUPS!$A$1:$B$5,2, FALSE)</f>
        <v>4</v>
      </c>
      <c r="K53" t="s">
        <v>20</v>
      </c>
      <c r="L53">
        <f>VLOOKUP(M53,VLOOKUPS!$A$1:$B$5,2, FALSE)</f>
        <v>2</v>
      </c>
      <c r="M53" t="s">
        <v>15</v>
      </c>
      <c r="N53">
        <f>VLOOKUP(O53,VLOOKUPS!$A$1:$B$5,2, FALSE)</f>
        <v>4</v>
      </c>
      <c r="O53" t="s">
        <v>20</v>
      </c>
      <c r="P53">
        <f>VLOOKUP(Q53,VLOOKUPS!$A$1:$B$5,2, FALSE)</f>
        <v>2</v>
      </c>
      <c r="Q53" t="s">
        <v>15</v>
      </c>
      <c r="R53">
        <f>VLOOKUP(S53,VLOOKUPS!$A$1:$B$5,2, FALSE)</f>
        <v>3</v>
      </c>
      <c r="S53" t="s">
        <v>16</v>
      </c>
      <c r="T53">
        <f>VLOOKUP(U53,VLOOKUPS!$A$1:$B$5,2, FALSE)</f>
        <v>2</v>
      </c>
      <c r="U53" t="s">
        <v>15</v>
      </c>
      <c r="V53">
        <f>VLOOKUP(W53,VLOOKUPS!$D$1:$E$31,2, FALSE)</f>
        <v>7</v>
      </c>
      <c r="W53" t="s">
        <v>37</v>
      </c>
      <c r="X53">
        <f>VLOOKUP(Y53,VLOOKUPS!$G$1:$H$3,2, FALSE)</f>
        <v>2</v>
      </c>
      <c r="Y53" t="s">
        <v>13</v>
      </c>
    </row>
    <row r="54" spans="1:25" x14ac:dyDescent="0.2">
      <c r="A54" t="s">
        <v>103</v>
      </c>
      <c r="B54">
        <f>VLOOKUP(C54,VLOOKUPS!$A$1:$B$5,2, FALSE)</f>
        <v>3</v>
      </c>
      <c r="C54" t="s">
        <v>16</v>
      </c>
      <c r="D54">
        <f>VLOOKUP(E54,VLOOKUPS!$A$1:$B$5,2, FALSE)</f>
        <v>4</v>
      </c>
      <c r="E54" t="s">
        <v>20</v>
      </c>
      <c r="F54">
        <f>VLOOKUP(G54,VLOOKUPS!$A$1:$B$5,2, FALSE)</f>
        <v>4</v>
      </c>
      <c r="G54" t="s">
        <v>20</v>
      </c>
      <c r="H54">
        <f>VLOOKUP(I54,VLOOKUPS!$A$1:$B$5,2, FALSE)</f>
        <v>4</v>
      </c>
      <c r="I54" t="s">
        <v>20</v>
      </c>
      <c r="J54">
        <f>VLOOKUP(K54,VLOOKUPS!$A$1:$B$5,2, FALSE)</f>
        <v>4</v>
      </c>
      <c r="K54" t="s">
        <v>20</v>
      </c>
      <c r="L54">
        <f>VLOOKUP(M54,VLOOKUPS!$A$1:$B$5,2, FALSE)</f>
        <v>3</v>
      </c>
      <c r="M54" t="s">
        <v>16</v>
      </c>
      <c r="N54">
        <f>VLOOKUP(O54,VLOOKUPS!$A$1:$B$5,2, FALSE)</f>
        <v>4</v>
      </c>
      <c r="O54" t="s">
        <v>20</v>
      </c>
      <c r="P54">
        <f>VLOOKUP(Q54,VLOOKUPS!$A$1:$B$5,2, FALSE)</f>
        <v>4</v>
      </c>
      <c r="Q54" t="s">
        <v>20</v>
      </c>
      <c r="R54">
        <f>VLOOKUP(S54,VLOOKUPS!$A$1:$B$5,2, FALSE)</f>
        <v>3</v>
      </c>
      <c r="S54" t="s">
        <v>16</v>
      </c>
      <c r="T54">
        <f>VLOOKUP(U54,VLOOKUPS!$A$1:$B$5,2, FALSE)</f>
        <v>3</v>
      </c>
      <c r="U54" t="s">
        <v>16</v>
      </c>
      <c r="V54">
        <f>VLOOKUP(W54,VLOOKUPS!$D$1:$E$31,2, FALSE)</f>
        <v>19</v>
      </c>
      <c r="W54" t="s">
        <v>63</v>
      </c>
      <c r="X54">
        <f>VLOOKUP(Y54,VLOOKUPS!$G$1:$H$3,2, FALSE)</f>
        <v>2</v>
      </c>
      <c r="Y54" t="s">
        <v>13</v>
      </c>
    </row>
    <row r="55" spans="1:25" x14ac:dyDescent="0.2">
      <c r="A55" t="s">
        <v>104</v>
      </c>
      <c r="B55">
        <f>VLOOKUP(C55,VLOOKUPS!$A$1:$B$5,2, FALSE)</f>
        <v>5</v>
      </c>
      <c r="C55" t="s">
        <v>14</v>
      </c>
      <c r="D55">
        <f>VLOOKUP(E55,VLOOKUPS!$A$1:$B$5,2, FALSE)</f>
        <v>1</v>
      </c>
      <c r="E55" t="s">
        <v>23</v>
      </c>
      <c r="F55">
        <f>VLOOKUP(G55,VLOOKUPS!$A$1:$B$5,2, FALSE)</f>
        <v>5</v>
      </c>
      <c r="G55" t="s">
        <v>14</v>
      </c>
      <c r="H55">
        <f>VLOOKUP(I55,VLOOKUPS!$A$1:$B$5,2, FALSE)</f>
        <v>1</v>
      </c>
      <c r="I55" t="s">
        <v>23</v>
      </c>
      <c r="J55">
        <f>VLOOKUP(K55,VLOOKUPS!$A$1:$B$5,2, FALSE)</f>
        <v>1</v>
      </c>
      <c r="K55" t="s">
        <v>23</v>
      </c>
      <c r="L55">
        <f>VLOOKUP(M55,VLOOKUPS!$A$1:$B$5,2, FALSE)</f>
        <v>5</v>
      </c>
      <c r="M55" t="s">
        <v>14</v>
      </c>
      <c r="N55">
        <f>VLOOKUP(O55,VLOOKUPS!$A$1:$B$5,2, FALSE)</f>
        <v>5</v>
      </c>
      <c r="O55" t="s">
        <v>14</v>
      </c>
      <c r="P55">
        <f>VLOOKUP(Q55,VLOOKUPS!$A$1:$B$5,2, FALSE)</f>
        <v>5</v>
      </c>
      <c r="Q55" t="s">
        <v>14</v>
      </c>
      <c r="R55">
        <f>VLOOKUP(S55,VLOOKUPS!$A$1:$B$5,2, FALSE)</f>
        <v>5</v>
      </c>
      <c r="S55" t="s">
        <v>14</v>
      </c>
      <c r="T55">
        <f>VLOOKUP(U55,VLOOKUPS!$A$1:$B$5,2, FALSE)</f>
        <v>5</v>
      </c>
      <c r="U55" t="s">
        <v>14</v>
      </c>
      <c r="V55">
        <f>VLOOKUP(W55,VLOOKUPS!$D$1:$E$31,2, FALSE)</f>
        <v>25</v>
      </c>
      <c r="W55" t="s">
        <v>76</v>
      </c>
      <c r="X55">
        <f>VLOOKUP(Y55,VLOOKUPS!$G$1:$H$3,2, FALSE)</f>
        <v>2</v>
      </c>
      <c r="Y55" t="s">
        <v>13</v>
      </c>
    </row>
    <row r="56" spans="1:25" x14ac:dyDescent="0.2">
      <c r="A56" t="s">
        <v>105</v>
      </c>
      <c r="B56">
        <f>VLOOKUP(C56,VLOOKUPS!$A$1:$B$5,2, FALSE)</f>
        <v>4</v>
      </c>
      <c r="C56" t="s">
        <v>20</v>
      </c>
      <c r="D56">
        <f>VLOOKUP(E56,VLOOKUPS!$A$1:$B$5,2, FALSE)</f>
        <v>3</v>
      </c>
      <c r="E56" t="s">
        <v>16</v>
      </c>
      <c r="F56">
        <f>VLOOKUP(G56,VLOOKUPS!$A$1:$B$5,2, FALSE)</f>
        <v>3</v>
      </c>
      <c r="G56" t="s">
        <v>16</v>
      </c>
      <c r="H56">
        <f>VLOOKUP(I56,VLOOKUPS!$A$1:$B$5,2, FALSE)</f>
        <v>4</v>
      </c>
      <c r="I56" t="s">
        <v>20</v>
      </c>
      <c r="J56">
        <f>VLOOKUP(K56,VLOOKUPS!$A$1:$B$5,2, FALSE)</f>
        <v>3</v>
      </c>
      <c r="K56" t="s">
        <v>16</v>
      </c>
      <c r="L56">
        <f>VLOOKUP(M56,VLOOKUPS!$A$1:$B$5,2, FALSE)</f>
        <v>4</v>
      </c>
      <c r="M56" t="s">
        <v>20</v>
      </c>
      <c r="N56">
        <f>VLOOKUP(O56,VLOOKUPS!$A$1:$B$5,2, FALSE)</f>
        <v>4</v>
      </c>
      <c r="O56" t="s">
        <v>20</v>
      </c>
      <c r="P56">
        <f>VLOOKUP(Q56,VLOOKUPS!$A$1:$B$5,2, FALSE)</f>
        <v>4</v>
      </c>
      <c r="Q56" t="s">
        <v>20</v>
      </c>
      <c r="R56">
        <f>VLOOKUP(S56,VLOOKUPS!$A$1:$B$5,2, FALSE)</f>
        <v>4</v>
      </c>
      <c r="S56" t="s">
        <v>20</v>
      </c>
      <c r="T56">
        <f>VLOOKUP(U56,VLOOKUPS!$A$1:$B$5,2, FALSE)</f>
        <v>4</v>
      </c>
      <c r="U56" t="s">
        <v>20</v>
      </c>
      <c r="V56">
        <f>VLOOKUP(W56,VLOOKUPS!$D$1:$E$31,2, FALSE)</f>
        <v>4</v>
      </c>
      <c r="W56" t="s">
        <v>30</v>
      </c>
      <c r="X56">
        <f>VLOOKUP(Y56,VLOOKUPS!$G$1:$H$3,2, FALSE)</f>
        <v>2</v>
      </c>
      <c r="Y56" t="s">
        <v>13</v>
      </c>
    </row>
    <row r="57" spans="1:25" x14ac:dyDescent="0.2">
      <c r="A57" t="s">
        <v>106</v>
      </c>
      <c r="B57">
        <f>VLOOKUP(C57,VLOOKUPS!$A$1:$B$5,2, FALSE)</f>
        <v>3</v>
      </c>
      <c r="C57" t="s">
        <v>16</v>
      </c>
      <c r="D57">
        <f>VLOOKUP(E57,VLOOKUPS!$A$1:$B$5,2, FALSE)</f>
        <v>2</v>
      </c>
      <c r="E57" t="s">
        <v>15</v>
      </c>
      <c r="F57">
        <f>VLOOKUP(G57,VLOOKUPS!$A$1:$B$5,2, FALSE)</f>
        <v>4</v>
      </c>
      <c r="G57" t="s">
        <v>20</v>
      </c>
      <c r="H57">
        <f>VLOOKUP(I57,VLOOKUPS!$A$1:$B$5,2, FALSE)</f>
        <v>4</v>
      </c>
      <c r="I57" t="s">
        <v>20</v>
      </c>
      <c r="J57">
        <f>VLOOKUP(K57,VLOOKUPS!$A$1:$B$5,2, FALSE)</f>
        <v>4</v>
      </c>
      <c r="K57" t="s">
        <v>20</v>
      </c>
      <c r="L57">
        <f>VLOOKUP(M57,VLOOKUPS!$A$1:$B$5,2, FALSE)</f>
        <v>3</v>
      </c>
      <c r="M57" t="s">
        <v>16</v>
      </c>
      <c r="N57">
        <f>VLOOKUP(O57,VLOOKUPS!$A$1:$B$5,2, FALSE)</f>
        <v>4</v>
      </c>
      <c r="O57" t="s">
        <v>20</v>
      </c>
      <c r="P57">
        <f>VLOOKUP(Q57,VLOOKUPS!$A$1:$B$5,2, FALSE)</f>
        <v>5</v>
      </c>
      <c r="Q57" t="s">
        <v>14</v>
      </c>
      <c r="R57">
        <f>VLOOKUP(S57,VLOOKUPS!$A$1:$B$5,2, FALSE)</f>
        <v>3</v>
      </c>
      <c r="S57" t="s">
        <v>16</v>
      </c>
      <c r="T57">
        <f>VLOOKUP(U57,VLOOKUPS!$A$1:$B$5,2, FALSE)</f>
        <v>4</v>
      </c>
      <c r="U57" t="s">
        <v>20</v>
      </c>
      <c r="V57">
        <f>VLOOKUP(W57,VLOOKUPS!$D$1:$E$31,2, FALSE)</f>
        <v>21</v>
      </c>
      <c r="W57" t="s">
        <v>68</v>
      </c>
      <c r="X57">
        <f>VLOOKUP(Y57,VLOOKUPS!$G$1:$H$3,2, FALSE)</f>
        <v>2</v>
      </c>
      <c r="Y57" t="s">
        <v>13</v>
      </c>
    </row>
    <row r="58" spans="1:25" x14ac:dyDescent="0.2">
      <c r="A58" t="s">
        <v>107</v>
      </c>
      <c r="B58">
        <f>VLOOKUP(C58,VLOOKUPS!$A$1:$B$5,2, FALSE)</f>
        <v>5</v>
      </c>
      <c r="C58" t="s">
        <v>14</v>
      </c>
      <c r="D58">
        <f>VLOOKUP(E58,VLOOKUPS!$A$1:$B$5,2, FALSE)</f>
        <v>5</v>
      </c>
      <c r="E58" t="s">
        <v>14</v>
      </c>
      <c r="F58">
        <f>VLOOKUP(G58,VLOOKUPS!$A$1:$B$5,2, FALSE)</f>
        <v>5</v>
      </c>
      <c r="G58" t="s">
        <v>14</v>
      </c>
      <c r="H58">
        <f>VLOOKUP(I58,VLOOKUPS!$A$1:$B$5,2, FALSE)</f>
        <v>5</v>
      </c>
      <c r="I58" t="s">
        <v>14</v>
      </c>
      <c r="J58">
        <f>VLOOKUP(K58,VLOOKUPS!$A$1:$B$5,2, FALSE)</f>
        <v>5</v>
      </c>
      <c r="K58" t="s">
        <v>14</v>
      </c>
      <c r="L58">
        <f>VLOOKUP(M58,VLOOKUPS!$A$1:$B$5,2, FALSE)</f>
        <v>5</v>
      </c>
      <c r="M58" t="s">
        <v>14</v>
      </c>
      <c r="N58">
        <f>VLOOKUP(O58,VLOOKUPS!$A$1:$B$5,2, FALSE)</f>
        <v>5</v>
      </c>
      <c r="O58" t="s">
        <v>14</v>
      </c>
      <c r="P58">
        <f>VLOOKUP(Q58,VLOOKUPS!$A$1:$B$5,2, FALSE)</f>
        <v>5</v>
      </c>
      <c r="Q58" t="s">
        <v>14</v>
      </c>
      <c r="R58">
        <f>VLOOKUP(S58,VLOOKUPS!$A$1:$B$5,2, FALSE)</f>
        <v>5</v>
      </c>
      <c r="S58" t="s">
        <v>14</v>
      </c>
      <c r="T58">
        <f>VLOOKUP(U58,VLOOKUPS!$A$1:$B$5,2, FALSE)</f>
        <v>5</v>
      </c>
      <c r="U58" t="s">
        <v>14</v>
      </c>
      <c r="V58">
        <f>VLOOKUP(W58,VLOOKUPS!$D$1:$E$31,2, FALSE)</f>
        <v>16</v>
      </c>
      <c r="W58" t="s">
        <v>57</v>
      </c>
      <c r="X58">
        <f>VLOOKUP(Y58,VLOOKUPS!$G$1:$H$3,2, FALSE)</f>
        <v>2</v>
      </c>
      <c r="Y58" t="s">
        <v>13</v>
      </c>
    </row>
    <row r="59" spans="1:25" x14ac:dyDescent="0.2">
      <c r="A59" t="s">
        <v>108</v>
      </c>
      <c r="B59">
        <f>VLOOKUP(C59,VLOOKUPS!$A$1:$B$5,2, FALSE)</f>
        <v>4</v>
      </c>
      <c r="C59" t="s">
        <v>20</v>
      </c>
      <c r="D59">
        <f>VLOOKUP(E59,VLOOKUPS!$A$1:$B$5,2, FALSE)</f>
        <v>4</v>
      </c>
      <c r="E59" t="s">
        <v>20</v>
      </c>
      <c r="F59">
        <f>VLOOKUP(G59,VLOOKUPS!$A$1:$B$5,2, FALSE)</f>
        <v>4</v>
      </c>
      <c r="G59" t="s">
        <v>20</v>
      </c>
      <c r="H59">
        <f>VLOOKUP(I59,VLOOKUPS!$A$1:$B$5,2, FALSE)</f>
        <v>4</v>
      </c>
      <c r="I59" t="s">
        <v>20</v>
      </c>
      <c r="J59">
        <f>VLOOKUP(K59,VLOOKUPS!$A$1:$B$5,2, FALSE)</f>
        <v>3</v>
      </c>
      <c r="K59" t="s">
        <v>16</v>
      </c>
      <c r="L59">
        <f>VLOOKUP(M59,VLOOKUPS!$A$1:$B$5,2, FALSE)</f>
        <v>3</v>
      </c>
      <c r="M59" t="s">
        <v>16</v>
      </c>
      <c r="N59">
        <f>VLOOKUP(O59,VLOOKUPS!$A$1:$B$5,2, FALSE)</f>
        <v>3</v>
      </c>
      <c r="O59" t="s">
        <v>16</v>
      </c>
      <c r="P59">
        <f>VLOOKUP(Q59,VLOOKUPS!$A$1:$B$5,2, FALSE)</f>
        <v>5</v>
      </c>
      <c r="Q59" t="s">
        <v>14</v>
      </c>
      <c r="R59">
        <f>VLOOKUP(S59,VLOOKUPS!$A$1:$B$5,2, FALSE)</f>
        <v>5</v>
      </c>
      <c r="S59" t="s">
        <v>14</v>
      </c>
      <c r="T59">
        <f>VLOOKUP(U59,VLOOKUPS!$A$1:$B$5,2, FALSE)</f>
        <v>5</v>
      </c>
      <c r="U59" t="s">
        <v>14</v>
      </c>
      <c r="V59">
        <f>VLOOKUP(W59,VLOOKUPS!$D$1:$E$31,2, FALSE)</f>
        <v>6</v>
      </c>
      <c r="W59" t="s">
        <v>35</v>
      </c>
      <c r="X59">
        <f>VLOOKUP(Y59,VLOOKUPS!$G$1:$H$3,2, FALSE)</f>
        <v>2</v>
      </c>
      <c r="Y59" t="s">
        <v>13</v>
      </c>
    </row>
    <row r="60" spans="1:25" x14ac:dyDescent="0.2">
      <c r="A60" t="s">
        <v>109</v>
      </c>
      <c r="B60">
        <f>VLOOKUP(C60,VLOOKUPS!$A$1:$B$5,2, FALSE)</f>
        <v>4</v>
      </c>
      <c r="C60" t="s">
        <v>20</v>
      </c>
      <c r="D60">
        <f>VLOOKUP(E60,VLOOKUPS!$A$1:$B$5,2, FALSE)</f>
        <v>2</v>
      </c>
      <c r="E60" t="s">
        <v>15</v>
      </c>
      <c r="F60">
        <f>VLOOKUP(G60,VLOOKUPS!$A$1:$B$5,2, FALSE)</f>
        <v>5</v>
      </c>
      <c r="G60" t="s">
        <v>14</v>
      </c>
      <c r="H60">
        <f>VLOOKUP(I60,VLOOKUPS!$A$1:$B$5,2, FALSE)</f>
        <v>3</v>
      </c>
      <c r="I60" t="s">
        <v>16</v>
      </c>
      <c r="J60">
        <f>VLOOKUP(K60,VLOOKUPS!$A$1:$B$5,2, FALSE)</f>
        <v>2</v>
      </c>
      <c r="K60" t="s">
        <v>15</v>
      </c>
      <c r="L60">
        <f>VLOOKUP(M60,VLOOKUPS!$A$1:$B$5,2, FALSE)</f>
        <v>5</v>
      </c>
      <c r="M60" t="s">
        <v>14</v>
      </c>
      <c r="N60">
        <f>VLOOKUP(O60,VLOOKUPS!$A$1:$B$5,2, FALSE)</f>
        <v>5</v>
      </c>
      <c r="O60" t="s">
        <v>14</v>
      </c>
      <c r="P60">
        <f>VLOOKUP(Q60,VLOOKUPS!$A$1:$B$5,2, FALSE)</f>
        <v>5</v>
      </c>
      <c r="Q60" t="s">
        <v>14</v>
      </c>
      <c r="R60">
        <f>VLOOKUP(S60,VLOOKUPS!$A$1:$B$5,2, FALSE)</f>
        <v>5</v>
      </c>
      <c r="S60" t="s">
        <v>14</v>
      </c>
      <c r="T60">
        <f>VLOOKUP(U60,VLOOKUPS!$A$1:$B$5,2, FALSE)</f>
        <v>5</v>
      </c>
      <c r="U60" t="s">
        <v>14</v>
      </c>
      <c r="V60">
        <f>VLOOKUP(W60,VLOOKUPS!$D$1:$E$31,2, FALSE)</f>
        <v>27</v>
      </c>
      <c r="W60" t="s">
        <v>80</v>
      </c>
      <c r="X60">
        <f>VLOOKUP(Y60,VLOOKUPS!$G$1:$H$3,2, FALSE)</f>
        <v>2</v>
      </c>
      <c r="Y60" t="s">
        <v>13</v>
      </c>
    </row>
    <row r="61" spans="1:25" x14ac:dyDescent="0.2">
      <c r="A61" t="s">
        <v>110</v>
      </c>
      <c r="B61">
        <f>VLOOKUP(C61,VLOOKUPS!$A$1:$B$5,2, FALSE)</f>
        <v>5</v>
      </c>
      <c r="C61" t="s">
        <v>14</v>
      </c>
      <c r="D61">
        <f>VLOOKUP(E61,VLOOKUPS!$A$1:$B$5,2, FALSE)</f>
        <v>5</v>
      </c>
      <c r="E61" t="s">
        <v>14</v>
      </c>
      <c r="F61">
        <f>VLOOKUP(G61,VLOOKUPS!$A$1:$B$5,2, FALSE)</f>
        <v>1</v>
      </c>
      <c r="G61" t="s">
        <v>23</v>
      </c>
      <c r="H61">
        <f>VLOOKUP(I61,VLOOKUPS!$A$1:$B$5,2, FALSE)</f>
        <v>3</v>
      </c>
      <c r="I61" t="s">
        <v>16</v>
      </c>
      <c r="J61">
        <f>VLOOKUP(K61,VLOOKUPS!$A$1:$B$5,2, FALSE)</f>
        <v>3</v>
      </c>
      <c r="K61" t="s">
        <v>16</v>
      </c>
      <c r="L61">
        <f>VLOOKUP(M61,VLOOKUPS!$A$1:$B$5,2, FALSE)</f>
        <v>1</v>
      </c>
      <c r="M61" t="s">
        <v>23</v>
      </c>
      <c r="N61">
        <f>VLOOKUP(O61,VLOOKUPS!$A$1:$B$5,2, FALSE)</f>
        <v>1</v>
      </c>
      <c r="O61" t="s">
        <v>23</v>
      </c>
      <c r="P61">
        <f>VLOOKUP(Q61,VLOOKUPS!$A$1:$B$5,2, FALSE)</f>
        <v>4</v>
      </c>
      <c r="Q61" t="s">
        <v>20</v>
      </c>
      <c r="R61">
        <f>VLOOKUP(S61,VLOOKUPS!$A$1:$B$5,2, FALSE)</f>
        <v>5</v>
      </c>
      <c r="S61" t="s">
        <v>14</v>
      </c>
      <c r="T61">
        <f>VLOOKUP(U61,VLOOKUPS!$A$1:$B$5,2, FALSE)</f>
        <v>5</v>
      </c>
      <c r="U61" t="s">
        <v>14</v>
      </c>
      <c r="V61">
        <f>VLOOKUP(W61,VLOOKUPS!$D$1:$E$31,2, FALSE)</f>
        <v>18</v>
      </c>
      <c r="W61" t="s">
        <v>61</v>
      </c>
      <c r="X61">
        <f>VLOOKUP(Y61,VLOOKUPS!$G$1:$H$3,2, FALSE)</f>
        <v>1</v>
      </c>
      <c r="Y61" t="s">
        <v>18</v>
      </c>
    </row>
    <row r="62" spans="1:25" x14ac:dyDescent="0.2">
      <c r="A62" t="s">
        <v>111</v>
      </c>
      <c r="B62">
        <f>VLOOKUP(C62,VLOOKUPS!$A$1:$B$5,2, FALSE)</f>
        <v>2</v>
      </c>
      <c r="C62" t="s">
        <v>15</v>
      </c>
      <c r="D62">
        <f>VLOOKUP(E62,VLOOKUPS!$A$1:$B$5,2, FALSE)</f>
        <v>2</v>
      </c>
      <c r="E62" t="s">
        <v>15</v>
      </c>
      <c r="F62">
        <f>VLOOKUP(G62,VLOOKUPS!$A$1:$B$5,2, FALSE)</f>
        <v>2</v>
      </c>
      <c r="G62" t="s">
        <v>15</v>
      </c>
      <c r="H62">
        <f>VLOOKUP(I62,VLOOKUPS!$A$1:$B$5,2, FALSE)</f>
        <v>2</v>
      </c>
      <c r="I62" t="s">
        <v>15</v>
      </c>
      <c r="J62">
        <f>VLOOKUP(K62,VLOOKUPS!$A$1:$B$5,2, FALSE)</f>
        <v>2</v>
      </c>
      <c r="K62" t="s">
        <v>15</v>
      </c>
      <c r="L62">
        <f>VLOOKUP(M62,VLOOKUPS!$A$1:$B$5,2, FALSE)</f>
        <v>2</v>
      </c>
      <c r="M62" t="s">
        <v>15</v>
      </c>
      <c r="N62">
        <f>VLOOKUP(O62,VLOOKUPS!$A$1:$B$5,2, FALSE)</f>
        <v>2</v>
      </c>
      <c r="O62" t="s">
        <v>15</v>
      </c>
      <c r="P62">
        <f>VLOOKUP(Q62,VLOOKUPS!$A$1:$B$5,2, FALSE)</f>
        <v>2</v>
      </c>
      <c r="Q62" t="s">
        <v>15</v>
      </c>
      <c r="R62">
        <f>VLOOKUP(S62,VLOOKUPS!$A$1:$B$5,2, FALSE)</f>
        <v>2</v>
      </c>
      <c r="S62" t="s">
        <v>15</v>
      </c>
      <c r="T62">
        <f>VLOOKUP(U62,VLOOKUPS!$A$1:$B$5,2, FALSE)</f>
        <v>2</v>
      </c>
      <c r="U62" t="s">
        <v>15</v>
      </c>
      <c r="V62">
        <f>VLOOKUP(W62,VLOOKUPS!$D$1:$E$31,2, FALSE)</f>
        <v>12</v>
      </c>
      <c r="W62" t="s">
        <v>48</v>
      </c>
      <c r="X62">
        <f>VLOOKUP(Y62,VLOOKUPS!$G$1:$H$3,2, FALSE)</f>
        <v>2</v>
      </c>
      <c r="Y62" t="s">
        <v>13</v>
      </c>
    </row>
    <row r="63" spans="1:25" x14ac:dyDescent="0.2">
      <c r="A63" t="s">
        <v>112</v>
      </c>
      <c r="B63">
        <f>VLOOKUP(C63,VLOOKUPS!$A$1:$B$5,2, FALSE)</f>
        <v>4</v>
      </c>
      <c r="C63" t="s">
        <v>20</v>
      </c>
      <c r="D63">
        <f>VLOOKUP(E63,VLOOKUPS!$A$1:$B$5,2, FALSE)</f>
        <v>4</v>
      </c>
      <c r="E63" t="s">
        <v>20</v>
      </c>
      <c r="F63">
        <f>VLOOKUP(G63,VLOOKUPS!$A$1:$B$5,2, FALSE)</f>
        <v>4</v>
      </c>
      <c r="G63" t="s">
        <v>20</v>
      </c>
      <c r="H63">
        <f>VLOOKUP(I63,VLOOKUPS!$A$1:$B$5,2, FALSE)</f>
        <v>4</v>
      </c>
      <c r="I63" t="s">
        <v>20</v>
      </c>
      <c r="J63">
        <f>VLOOKUP(K63,VLOOKUPS!$A$1:$B$5,2, FALSE)</f>
        <v>4</v>
      </c>
      <c r="K63" t="s">
        <v>20</v>
      </c>
      <c r="L63">
        <f>VLOOKUP(M63,VLOOKUPS!$A$1:$B$5,2, FALSE)</f>
        <v>4</v>
      </c>
      <c r="M63" t="s">
        <v>20</v>
      </c>
      <c r="N63">
        <f>VLOOKUP(O63,VLOOKUPS!$A$1:$B$5,2, FALSE)</f>
        <v>4</v>
      </c>
      <c r="O63" t="s">
        <v>20</v>
      </c>
      <c r="P63">
        <f>VLOOKUP(Q63,VLOOKUPS!$A$1:$B$5,2, FALSE)</f>
        <v>4</v>
      </c>
      <c r="Q63" t="s">
        <v>20</v>
      </c>
      <c r="R63">
        <f>VLOOKUP(S63,VLOOKUPS!$A$1:$B$5,2, FALSE)</f>
        <v>4</v>
      </c>
      <c r="S63" t="s">
        <v>20</v>
      </c>
      <c r="T63">
        <f>VLOOKUP(U63,VLOOKUPS!$A$1:$B$5,2, FALSE)</f>
        <v>4</v>
      </c>
      <c r="U63" t="s">
        <v>20</v>
      </c>
      <c r="V63">
        <f>VLOOKUP(W63,VLOOKUPS!$D$1:$E$31,2, FALSE)</f>
        <v>29</v>
      </c>
      <c r="W63" t="s">
        <v>88</v>
      </c>
      <c r="X63">
        <f>VLOOKUP(Y63,VLOOKUPS!$G$1:$H$3,2, FALSE)</f>
        <v>2</v>
      </c>
      <c r="Y63" t="s">
        <v>13</v>
      </c>
    </row>
    <row r="64" spans="1:25" x14ac:dyDescent="0.2">
      <c r="A64" t="s">
        <v>113</v>
      </c>
      <c r="B64">
        <f>VLOOKUP(C64,VLOOKUPS!$A$1:$B$5,2, FALSE)</f>
        <v>2</v>
      </c>
      <c r="C64" t="s">
        <v>15</v>
      </c>
      <c r="D64">
        <f>VLOOKUP(E64,VLOOKUPS!$A$1:$B$5,2, FALSE)</f>
        <v>2</v>
      </c>
      <c r="E64" t="s">
        <v>15</v>
      </c>
      <c r="F64">
        <f>VLOOKUP(G64,VLOOKUPS!$A$1:$B$5,2, FALSE)</f>
        <v>4</v>
      </c>
      <c r="G64" t="s">
        <v>20</v>
      </c>
      <c r="H64">
        <f>VLOOKUP(I64,VLOOKUPS!$A$1:$B$5,2, FALSE)</f>
        <v>4</v>
      </c>
      <c r="I64" t="s">
        <v>20</v>
      </c>
      <c r="J64">
        <f>VLOOKUP(K64,VLOOKUPS!$A$1:$B$5,2, FALSE)</f>
        <v>4</v>
      </c>
      <c r="K64" t="s">
        <v>20</v>
      </c>
      <c r="L64">
        <f>VLOOKUP(M64,VLOOKUPS!$A$1:$B$5,2, FALSE)</f>
        <v>4</v>
      </c>
      <c r="M64" t="s">
        <v>20</v>
      </c>
      <c r="N64">
        <f>VLOOKUP(O64,VLOOKUPS!$A$1:$B$5,2, FALSE)</f>
        <v>4</v>
      </c>
      <c r="O64" t="s">
        <v>20</v>
      </c>
      <c r="P64">
        <f>VLOOKUP(Q64,VLOOKUPS!$A$1:$B$5,2, FALSE)</f>
        <v>4</v>
      </c>
      <c r="Q64" t="s">
        <v>20</v>
      </c>
      <c r="R64">
        <f>VLOOKUP(S64,VLOOKUPS!$A$1:$B$5,2, FALSE)</f>
        <v>5</v>
      </c>
      <c r="S64" t="s">
        <v>14</v>
      </c>
      <c r="T64">
        <f>VLOOKUP(U64,VLOOKUPS!$A$1:$B$5,2, FALSE)</f>
        <v>4</v>
      </c>
      <c r="U64" t="s">
        <v>20</v>
      </c>
      <c r="V64">
        <f>VLOOKUP(W64,VLOOKUPS!$D$1:$E$31,2, FALSE)</f>
        <v>22</v>
      </c>
      <c r="W64" t="s">
        <v>70</v>
      </c>
      <c r="X64">
        <f>VLOOKUP(Y64,VLOOKUPS!$G$1:$H$3,2, FALSE)</f>
        <v>2</v>
      </c>
      <c r="Y64" t="s">
        <v>13</v>
      </c>
    </row>
    <row r="65" spans="1:25" x14ac:dyDescent="0.2">
      <c r="A65" t="s">
        <v>114</v>
      </c>
      <c r="B65">
        <f>VLOOKUP(C65,VLOOKUPS!$A$1:$B$5,2, FALSE)</f>
        <v>3</v>
      </c>
      <c r="C65" t="s">
        <v>16</v>
      </c>
      <c r="D65">
        <f>VLOOKUP(E65,VLOOKUPS!$A$1:$B$5,2, FALSE)</f>
        <v>3</v>
      </c>
      <c r="E65" t="s">
        <v>16</v>
      </c>
      <c r="F65">
        <f>VLOOKUP(G65,VLOOKUPS!$A$1:$B$5,2, FALSE)</f>
        <v>3</v>
      </c>
      <c r="G65" t="s">
        <v>16</v>
      </c>
      <c r="H65">
        <f>VLOOKUP(I65,VLOOKUPS!$A$1:$B$5,2, FALSE)</f>
        <v>3</v>
      </c>
      <c r="I65" t="s">
        <v>16</v>
      </c>
      <c r="J65">
        <f>VLOOKUP(K65,VLOOKUPS!$A$1:$B$5,2, FALSE)</f>
        <v>3</v>
      </c>
      <c r="K65" t="s">
        <v>16</v>
      </c>
      <c r="L65">
        <f>VLOOKUP(M65,VLOOKUPS!$A$1:$B$5,2, FALSE)</f>
        <v>4</v>
      </c>
      <c r="M65" t="s">
        <v>20</v>
      </c>
      <c r="N65">
        <f>VLOOKUP(O65,VLOOKUPS!$A$1:$B$5,2, FALSE)</f>
        <v>4</v>
      </c>
      <c r="O65" t="s">
        <v>20</v>
      </c>
      <c r="P65">
        <f>VLOOKUP(Q65,VLOOKUPS!$A$1:$B$5,2, FALSE)</f>
        <v>5</v>
      </c>
      <c r="Q65" t="s">
        <v>14</v>
      </c>
      <c r="R65">
        <f>VLOOKUP(S65,VLOOKUPS!$A$1:$B$5,2, FALSE)</f>
        <v>5</v>
      </c>
      <c r="S65" t="s">
        <v>14</v>
      </c>
      <c r="T65">
        <f>VLOOKUP(U65,VLOOKUPS!$A$1:$B$5,2, FALSE)</f>
        <v>5</v>
      </c>
      <c r="U65" t="s">
        <v>14</v>
      </c>
      <c r="V65">
        <f>VLOOKUP(W65,VLOOKUPS!$D$1:$E$31,2, FALSE)</f>
        <v>9</v>
      </c>
      <c r="W65" t="s">
        <v>42</v>
      </c>
      <c r="X65">
        <f>VLOOKUP(Y65,VLOOKUPS!$G$1:$H$3,2, FALSE)</f>
        <v>2</v>
      </c>
      <c r="Y65" t="s">
        <v>13</v>
      </c>
    </row>
    <row r="66" spans="1:25" x14ac:dyDescent="0.2">
      <c r="A66" t="s">
        <v>115</v>
      </c>
      <c r="B66">
        <f>VLOOKUP(C66,VLOOKUPS!$A$1:$B$5,2, FALSE)</f>
        <v>4</v>
      </c>
      <c r="C66" t="s">
        <v>20</v>
      </c>
      <c r="D66">
        <f>VLOOKUP(E66,VLOOKUPS!$A$1:$B$5,2, FALSE)</f>
        <v>4</v>
      </c>
      <c r="E66" t="s">
        <v>20</v>
      </c>
      <c r="F66">
        <f>VLOOKUP(G66,VLOOKUPS!$A$1:$B$5,2, FALSE)</f>
        <v>3</v>
      </c>
      <c r="G66" t="s">
        <v>16</v>
      </c>
      <c r="H66">
        <f>VLOOKUP(I66,VLOOKUPS!$A$1:$B$5,2, FALSE)</f>
        <v>4</v>
      </c>
      <c r="I66" t="s">
        <v>20</v>
      </c>
      <c r="J66">
        <f>VLOOKUP(K66,VLOOKUPS!$A$1:$B$5,2, FALSE)</f>
        <v>3</v>
      </c>
      <c r="K66" t="s">
        <v>16</v>
      </c>
      <c r="L66">
        <f>VLOOKUP(M66,VLOOKUPS!$A$1:$B$5,2, FALSE)</f>
        <v>3</v>
      </c>
      <c r="M66" t="s">
        <v>16</v>
      </c>
      <c r="N66">
        <f>VLOOKUP(O66,VLOOKUPS!$A$1:$B$5,2, FALSE)</f>
        <v>4</v>
      </c>
      <c r="O66" t="s">
        <v>20</v>
      </c>
      <c r="P66">
        <f>VLOOKUP(Q66,VLOOKUPS!$A$1:$B$5,2, FALSE)</f>
        <v>4</v>
      </c>
      <c r="Q66" t="s">
        <v>20</v>
      </c>
      <c r="R66">
        <f>VLOOKUP(S66,VLOOKUPS!$A$1:$B$5,2, FALSE)</f>
        <v>5</v>
      </c>
      <c r="S66" t="s">
        <v>14</v>
      </c>
      <c r="T66">
        <f>VLOOKUP(U66,VLOOKUPS!$A$1:$B$5,2, FALSE)</f>
        <v>5</v>
      </c>
      <c r="U66" t="s">
        <v>14</v>
      </c>
      <c r="V66">
        <f>VLOOKUP(W66,VLOOKUPS!$D$1:$E$31,2, FALSE)</f>
        <v>6</v>
      </c>
      <c r="W66" t="s">
        <v>35</v>
      </c>
      <c r="X66">
        <f>VLOOKUP(Y66,VLOOKUPS!$G$1:$H$3,2, FALSE)</f>
        <v>1</v>
      </c>
      <c r="Y66" t="s">
        <v>18</v>
      </c>
    </row>
    <row r="67" spans="1:25" x14ac:dyDescent="0.2">
      <c r="A67" t="s">
        <v>116</v>
      </c>
      <c r="B67">
        <f>VLOOKUP(C67,VLOOKUPS!$A$1:$B$5,2, FALSE)</f>
        <v>4</v>
      </c>
      <c r="C67" t="s">
        <v>20</v>
      </c>
      <c r="D67">
        <f>VLOOKUP(E67,VLOOKUPS!$A$1:$B$5,2, FALSE)</f>
        <v>4</v>
      </c>
      <c r="E67" t="s">
        <v>20</v>
      </c>
      <c r="F67">
        <f>VLOOKUP(G67,VLOOKUPS!$A$1:$B$5,2, FALSE)</f>
        <v>4</v>
      </c>
      <c r="G67" t="s">
        <v>20</v>
      </c>
      <c r="H67">
        <f>VLOOKUP(I67,VLOOKUPS!$A$1:$B$5,2, FALSE)</f>
        <v>4</v>
      </c>
      <c r="I67" t="s">
        <v>20</v>
      </c>
      <c r="J67">
        <f>VLOOKUP(K67,VLOOKUPS!$A$1:$B$5,2, FALSE)</f>
        <v>4</v>
      </c>
      <c r="K67" t="s">
        <v>20</v>
      </c>
      <c r="L67">
        <f>VLOOKUP(M67,VLOOKUPS!$A$1:$B$5,2, FALSE)</f>
        <v>4</v>
      </c>
      <c r="M67" t="s">
        <v>20</v>
      </c>
      <c r="N67">
        <f>VLOOKUP(O67,VLOOKUPS!$A$1:$B$5,2, FALSE)</f>
        <v>4</v>
      </c>
      <c r="O67" t="s">
        <v>20</v>
      </c>
      <c r="P67">
        <f>VLOOKUP(Q67,VLOOKUPS!$A$1:$B$5,2, FALSE)</f>
        <v>4</v>
      </c>
      <c r="Q67" t="s">
        <v>20</v>
      </c>
      <c r="R67">
        <f>VLOOKUP(S67,VLOOKUPS!$A$1:$B$5,2, FALSE)</f>
        <v>4</v>
      </c>
      <c r="S67" t="s">
        <v>20</v>
      </c>
      <c r="T67">
        <f>VLOOKUP(U67,VLOOKUPS!$A$1:$B$5,2, FALSE)</f>
        <v>4</v>
      </c>
      <c r="U67" t="s">
        <v>20</v>
      </c>
      <c r="V67">
        <f>VLOOKUP(W67,VLOOKUPS!$D$1:$E$31,2, FALSE)</f>
        <v>29</v>
      </c>
      <c r="W67" t="s">
        <v>88</v>
      </c>
      <c r="X67">
        <f>VLOOKUP(Y67,VLOOKUPS!$G$1:$H$3,2, FALSE)</f>
        <v>1</v>
      </c>
      <c r="Y67" t="s">
        <v>18</v>
      </c>
    </row>
    <row r="68" spans="1:25" x14ac:dyDescent="0.2">
      <c r="A68" t="s">
        <v>117</v>
      </c>
      <c r="B68">
        <f>VLOOKUP(C68,VLOOKUPS!$A$1:$B$5,2, FALSE)</f>
        <v>5</v>
      </c>
      <c r="C68" t="s">
        <v>14</v>
      </c>
      <c r="D68">
        <f>VLOOKUP(E68,VLOOKUPS!$A$1:$B$5,2, FALSE)</f>
        <v>4</v>
      </c>
      <c r="E68" t="s">
        <v>20</v>
      </c>
      <c r="F68">
        <f>VLOOKUP(G68,VLOOKUPS!$A$1:$B$5,2, FALSE)</f>
        <v>4</v>
      </c>
      <c r="G68" t="s">
        <v>20</v>
      </c>
      <c r="H68">
        <f>VLOOKUP(I68,VLOOKUPS!$A$1:$B$5,2, FALSE)</f>
        <v>4</v>
      </c>
      <c r="I68" t="s">
        <v>20</v>
      </c>
      <c r="J68">
        <f>VLOOKUP(K68,VLOOKUPS!$A$1:$B$5,2, FALSE)</f>
        <v>4</v>
      </c>
      <c r="K68" t="s">
        <v>20</v>
      </c>
      <c r="L68">
        <f>VLOOKUP(M68,VLOOKUPS!$A$1:$B$5,2, FALSE)</f>
        <v>5</v>
      </c>
      <c r="M68" t="s">
        <v>14</v>
      </c>
      <c r="N68">
        <f>VLOOKUP(O68,VLOOKUPS!$A$1:$B$5,2, FALSE)</f>
        <v>4</v>
      </c>
      <c r="O68" t="s">
        <v>20</v>
      </c>
      <c r="P68">
        <f>VLOOKUP(Q68,VLOOKUPS!$A$1:$B$5,2, FALSE)</f>
        <v>5</v>
      </c>
      <c r="Q68" t="s">
        <v>14</v>
      </c>
      <c r="R68">
        <f>VLOOKUP(S68,VLOOKUPS!$A$1:$B$5,2, FALSE)</f>
        <v>5</v>
      </c>
      <c r="S68" t="s">
        <v>14</v>
      </c>
      <c r="T68">
        <f>VLOOKUP(U68,VLOOKUPS!$A$1:$B$5,2, FALSE)</f>
        <v>5</v>
      </c>
      <c r="U68" t="s">
        <v>14</v>
      </c>
      <c r="V68">
        <f>VLOOKUP(W68,VLOOKUPS!$D$1:$E$31,2, FALSE)</f>
        <v>20</v>
      </c>
      <c r="W68" t="s">
        <v>66</v>
      </c>
      <c r="X68">
        <f>VLOOKUP(Y68,VLOOKUPS!$G$1:$H$3,2, FALSE)</f>
        <v>1</v>
      </c>
      <c r="Y68" t="s">
        <v>18</v>
      </c>
    </row>
    <row r="69" spans="1:25" x14ac:dyDescent="0.2">
      <c r="A69" t="s">
        <v>118</v>
      </c>
      <c r="B69">
        <f>VLOOKUP(C69,VLOOKUPS!$A$1:$B$5,2, FALSE)</f>
        <v>4</v>
      </c>
      <c r="C69" t="s">
        <v>20</v>
      </c>
      <c r="D69">
        <f>VLOOKUP(E69,VLOOKUPS!$A$1:$B$5,2, FALSE)</f>
        <v>4</v>
      </c>
      <c r="E69" t="s">
        <v>20</v>
      </c>
      <c r="F69">
        <f>VLOOKUP(G69,VLOOKUPS!$A$1:$B$5,2, FALSE)</f>
        <v>4</v>
      </c>
      <c r="G69" t="s">
        <v>20</v>
      </c>
      <c r="H69">
        <f>VLOOKUP(I69,VLOOKUPS!$A$1:$B$5,2, FALSE)</f>
        <v>4</v>
      </c>
      <c r="I69" t="s">
        <v>20</v>
      </c>
      <c r="J69">
        <f>VLOOKUP(K69,VLOOKUPS!$A$1:$B$5,2, FALSE)</f>
        <v>4</v>
      </c>
      <c r="K69" t="s">
        <v>20</v>
      </c>
      <c r="L69">
        <f>VLOOKUP(M69,VLOOKUPS!$A$1:$B$5,2, FALSE)</f>
        <v>4</v>
      </c>
      <c r="M69" t="s">
        <v>20</v>
      </c>
      <c r="N69">
        <f>VLOOKUP(O69,VLOOKUPS!$A$1:$B$5,2, FALSE)</f>
        <v>4</v>
      </c>
      <c r="O69" t="s">
        <v>20</v>
      </c>
      <c r="P69">
        <f>VLOOKUP(Q69,VLOOKUPS!$A$1:$B$5,2, FALSE)</f>
        <v>4</v>
      </c>
      <c r="Q69" t="s">
        <v>20</v>
      </c>
      <c r="R69">
        <f>VLOOKUP(S69,VLOOKUPS!$A$1:$B$5,2, FALSE)</f>
        <v>4</v>
      </c>
      <c r="S69" t="s">
        <v>20</v>
      </c>
      <c r="T69">
        <f>VLOOKUP(U69,VLOOKUPS!$A$1:$B$5,2, FALSE)</f>
        <v>4</v>
      </c>
      <c r="U69" t="s">
        <v>20</v>
      </c>
      <c r="V69">
        <f>VLOOKUP(W69,VLOOKUPS!$D$1:$E$31,2, FALSE)</f>
        <v>12</v>
      </c>
      <c r="W69" t="s">
        <v>48</v>
      </c>
      <c r="X69">
        <f>VLOOKUP(Y69,VLOOKUPS!$G$1:$H$3,2, FALSE)</f>
        <v>1</v>
      </c>
      <c r="Y69" t="s">
        <v>18</v>
      </c>
    </row>
    <row r="70" spans="1:25" x14ac:dyDescent="0.2">
      <c r="A70" t="s">
        <v>119</v>
      </c>
      <c r="B70">
        <f>VLOOKUP(C70,VLOOKUPS!$A$1:$B$5,2, FALSE)</f>
        <v>3</v>
      </c>
      <c r="C70" t="s">
        <v>16</v>
      </c>
      <c r="D70">
        <f>VLOOKUP(E70,VLOOKUPS!$A$1:$B$5,2, FALSE)</f>
        <v>1</v>
      </c>
      <c r="E70" t="s">
        <v>23</v>
      </c>
      <c r="F70">
        <f>VLOOKUP(G70,VLOOKUPS!$A$1:$B$5,2, FALSE)</f>
        <v>5</v>
      </c>
      <c r="G70" t="s">
        <v>14</v>
      </c>
      <c r="H70">
        <f>VLOOKUP(I70,VLOOKUPS!$A$1:$B$5,2, FALSE)</f>
        <v>2</v>
      </c>
      <c r="I70" t="s">
        <v>15</v>
      </c>
      <c r="J70">
        <f>VLOOKUP(K70,VLOOKUPS!$A$1:$B$5,2, FALSE)</f>
        <v>4</v>
      </c>
      <c r="K70" t="s">
        <v>20</v>
      </c>
      <c r="L70">
        <f>VLOOKUP(M70,VLOOKUPS!$A$1:$B$5,2, FALSE)</f>
        <v>3</v>
      </c>
      <c r="M70" t="s">
        <v>16</v>
      </c>
      <c r="N70">
        <f>VLOOKUP(O70,VLOOKUPS!$A$1:$B$5,2, FALSE)</f>
        <v>3</v>
      </c>
      <c r="O70" t="s">
        <v>16</v>
      </c>
      <c r="P70">
        <f>VLOOKUP(Q70,VLOOKUPS!$A$1:$B$5,2, FALSE)</f>
        <v>2</v>
      </c>
      <c r="Q70" t="s">
        <v>15</v>
      </c>
      <c r="R70">
        <f>VLOOKUP(S70,VLOOKUPS!$A$1:$B$5,2, FALSE)</f>
        <v>3</v>
      </c>
      <c r="S70" t="s">
        <v>16</v>
      </c>
      <c r="T70">
        <f>VLOOKUP(U70,VLOOKUPS!$A$1:$B$5,2, FALSE)</f>
        <v>3</v>
      </c>
      <c r="U70" t="s">
        <v>16</v>
      </c>
      <c r="V70">
        <f>VLOOKUP(W70,VLOOKUPS!$D$1:$E$31,2, FALSE)</f>
        <v>7</v>
      </c>
      <c r="W70" t="s">
        <v>37</v>
      </c>
      <c r="X70">
        <f>VLOOKUP(Y70,VLOOKUPS!$G$1:$H$3,2, FALSE)</f>
        <v>1</v>
      </c>
      <c r="Y70" t="s">
        <v>18</v>
      </c>
    </row>
    <row r="71" spans="1:25" x14ac:dyDescent="0.2">
      <c r="A71" t="s">
        <v>120</v>
      </c>
      <c r="B71">
        <f>VLOOKUP(C71,VLOOKUPS!$A$1:$B$5,2, FALSE)</f>
        <v>3</v>
      </c>
      <c r="C71" t="s">
        <v>16</v>
      </c>
      <c r="D71">
        <f>VLOOKUP(E71,VLOOKUPS!$A$1:$B$5,2, FALSE)</f>
        <v>3</v>
      </c>
      <c r="E71" t="s">
        <v>16</v>
      </c>
      <c r="F71">
        <f>VLOOKUP(G71,VLOOKUPS!$A$1:$B$5,2, FALSE)</f>
        <v>3</v>
      </c>
      <c r="G71" t="s">
        <v>16</v>
      </c>
      <c r="H71">
        <f>VLOOKUP(I71,VLOOKUPS!$A$1:$B$5,2, FALSE)</f>
        <v>4</v>
      </c>
      <c r="I71" t="s">
        <v>20</v>
      </c>
      <c r="J71">
        <f>VLOOKUP(K71,VLOOKUPS!$A$1:$B$5,2, FALSE)</f>
        <v>4</v>
      </c>
      <c r="K71" t="s">
        <v>20</v>
      </c>
      <c r="L71">
        <f>VLOOKUP(M71,VLOOKUPS!$A$1:$B$5,2, FALSE)</f>
        <v>4</v>
      </c>
      <c r="M71" t="s">
        <v>20</v>
      </c>
      <c r="N71">
        <f>VLOOKUP(O71,VLOOKUPS!$A$1:$B$5,2, FALSE)</f>
        <v>4</v>
      </c>
      <c r="O71" t="s">
        <v>20</v>
      </c>
      <c r="P71">
        <f>VLOOKUP(Q71,VLOOKUPS!$A$1:$B$5,2, FALSE)</f>
        <v>4</v>
      </c>
      <c r="Q71" t="s">
        <v>20</v>
      </c>
      <c r="R71">
        <f>VLOOKUP(S71,VLOOKUPS!$A$1:$B$5,2, FALSE)</f>
        <v>5</v>
      </c>
      <c r="S71" t="s">
        <v>14</v>
      </c>
      <c r="T71">
        <f>VLOOKUP(U71,VLOOKUPS!$A$1:$B$5,2, FALSE)</f>
        <v>4</v>
      </c>
      <c r="U71" t="s">
        <v>20</v>
      </c>
      <c r="V71">
        <f>VLOOKUP(W71,VLOOKUPS!$D$1:$E$31,2, FALSE)</f>
        <v>22</v>
      </c>
      <c r="W71" t="s">
        <v>70</v>
      </c>
      <c r="X71">
        <f>VLOOKUP(Y71,VLOOKUPS!$G$1:$H$3,2, FALSE)</f>
        <v>1</v>
      </c>
      <c r="Y71" t="s">
        <v>18</v>
      </c>
    </row>
    <row r="72" spans="1:25" x14ac:dyDescent="0.2">
      <c r="A72" t="s">
        <v>121</v>
      </c>
      <c r="B72">
        <f>VLOOKUP(C72,VLOOKUPS!$A$1:$B$5,2, FALSE)</f>
        <v>3</v>
      </c>
      <c r="C72" t="s">
        <v>16</v>
      </c>
      <c r="D72">
        <f>VLOOKUP(E72,VLOOKUPS!$A$1:$B$5,2, FALSE)</f>
        <v>2</v>
      </c>
      <c r="E72" t="s">
        <v>15</v>
      </c>
      <c r="F72">
        <f>VLOOKUP(G72,VLOOKUPS!$A$1:$B$5,2, FALSE)</f>
        <v>4</v>
      </c>
      <c r="G72" t="s">
        <v>20</v>
      </c>
      <c r="H72">
        <f>VLOOKUP(I72,VLOOKUPS!$A$1:$B$5,2, FALSE)</f>
        <v>2</v>
      </c>
      <c r="I72" t="s">
        <v>15</v>
      </c>
      <c r="J72">
        <f>VLOOKUP(K72,VLOOKUPS!$A$1:$B$5,2, FALSE)</f>
        <v>4</v>
      </c>
      <c r="K72" t="s">
        <v>20</v>
      </c>
      <c r="L72">
        <f>VLOOKUP(M72,VLOOKUPS!$A$1:$B$5,2, FALSE)</f>
        <v>3</v>
      </c>
      <c r="M72" t="s">
        <v>16</v>
      </c>
      <c r="N72">
        <f>VLOOKUP(O72,VLOOKUPS!$A$1:$B$5,2, FALSE)</f>
        <v>3</v>
      </c>
      <c r="O72" t="s">
        <v>16</v>
      </c>
      <c r="P72">
        <f>VLOOKUP(Q72,VLOOKUPS!$A$1:$B$5,2, FALSE)</f>
        <v>4</v>
      </c>
      <c r="Q72" t="s">
        <v>20</v>
      </c>
      <c r="R72">
        <f>VLOOKUP(S72,VLOOKUPS!$A$1:$B$5,2, FALSE)</f>
        <v>3</v>
      </c>
      <c r="S72" t="s">
        <v>16</v>
      </c>
      <c r="T72">
        <f>VLOOKUP(U72,VLOOKUPS!$A$1:$B$5,2, FALSE)</f>
        <v>4</v>
      </c>
      <c r="U72" t="s">
        <v>20</v>
      </c>
      <c r="V72">
        <f>VLOOKUP(W72,VLOOKUPS!$D$1:$E$31,2, FALSE)</f>
        <v>21</v>
      </c>
      <c r="W72" t="s">
        <v>68</v>
      </c>
      <c r="X72">
        <f>VLOOKUP(Y72,VLOOKUPS!$G$1:$H$3,2, FALSE)</f>
        <v>1</v>
      </c>
      <c r="Y72" t="s">
        <v>18</v>
      </c>
    </row>
    <row r="73" spans="1:25" x14ac:dyDescent="0.2">
      <c r="A73" t="s">
        <v>122</v>
      </c>
      <c r="B73">
        <f>VLOOKUP(C73,VLOOKUPS!$A$1:$B$5,2, FALSE)</f>
        <v>3</v>
      </c>
      <c r="C73" t="s">
        <v>16</v>
      </c>
      <c r="D73">
        <f>VLOOKUP(E73,VLOOKUPS!$A$1:$B$5,2, FALSE)</f>
        <v>4</v>
      </c>
      <c r="E73" t="s">
        <v>20</v>
      </c>
      <c r="F73">
        <f>VLOOKUP(G73,VLOOKUPS!$A$1:$B$5,2, FALSE)</f>
        <v>3</v>
      </c>
      <c r="G73" t="s">
        <v>16</v>
      </c>
      <c r="H73">
        <f>VLOOKUP(I73,VLOOKUPS!$A$1:$B$5,2, FALSE)</f>
        <v>4</v>
      </c>
      <c r="I73" t="s">
        <v>20</v>
      </c>
      <c r="J73">
        <f>VLOOKUP(K73,VLOOKUPS!$A$1:$B$5,2, FALSE)</f>
        <v>4</v>
      </c>
      <c r="K73" t="s">
        <v>20</v>
      </c>
      <c r="L73">
        <f>VLOOKUP(M73,VLOOKUPS!$A$1:$B$5,2, FALSE)</f>
        <v>3</v>
      </c>
      <c r="M73" t="s">
        <v>16</v>
      </c>
      <c r="N73">
        <f>VLOOKUP(O73,VLOOKUPS!$A$1:$B$5,2, FALSE)</f>
        <v>3</v>
      </c>
      <c r="O73" t="s">
        <v>16</v>
      </c>
      <c r="P73">
        <f>VLOOKUP(Q73,VLOOKUPS!$A$1:$B$5,2, FALSE)</f>
        <v>4</v>
      </c>
      <c r="Q73" t="s">
        <v>20</v>
      </c>
      <c r="R73">
        <f>VLOOKUP(S73,VLOOKUPS!$A$1:$B$5,2, FALSE)</f>
        <v>4</v>
      </c>
      <c r="S73" t="s">
        <v>20</v>
      </c>
      <c r="T73">
        <f>VLOOKUP(U73,VLOOKUPS!$A$1:$B$5,2, FALSE)</f>
        <v>3</v>
      </c>
      <c r="U73" t="s">
        <v>16</v>
      </c>
      <c r="V73">
        <f>VLOOKUP(W73,VLOOKUPS!$D$1:$E$31,2, FALSE)</f>
        <v>19</v>
      </c>
      <c r="W73" t="s">
        <v>63</v>
      </c>
      <c r="X73">
        <f>VLOOKUP(Y73,VLOOKUPS!$G$1:$H$3,2, FALSE)</f>
        <v>1</v>
      </c>
      <c r="Y73" t="s">
        <v>18</v>
      </c>
    </row>
    <row r="74" spans="1:25" x14ac:dyDescent="0.2">
      <c r="A74" t="s">
        <v>123</v>
      </c>
      <c r="B74">
        <f>VLOOKUP(C74,VLOOKUPS!$A$1:$B$5,2, FALSE)</f>
        <v>3</v>
      </c>
      <c r="C74" t="s">
        <v>16</v>
      </c>
      <c r="D74">
        <f>VLOOKUP(E74,VLOOKUPS!$A$1:$B$5,2, FALSE)</f>
        <v>3</v>
      </c>
      <c r="E74" t="s">
        <v>16</v>
      </c>
      <c r="F74">
        <f>VLOOKUP(G74,VLOOKUPS!$A$1:$B$5,2, FALSE)</f>
        <v>4</v>
      </c>
      <c r="G74" t="s">
        <v>20</v>
      </c>
      <c r="H74">
        <f>VLOOKUP(I74,VLOOKUPS!$A$1:$B$5,2, FALSE)</f>
        <v>3</v>
      </c>
      <c r="I74" t="s">
        <v>16</v>
      </c>
      <c r="J74">
        <f>VLOOKUP(K74,VLOOKUPS!$A$1:$B$5,2, FALSE)</f>
        <v>2</v>
      </c>
      <c r="K74" t="s">
        <v>15</v>
      </c>
      <c r="L74">
        <f>VLOOKUP(M74,VLOOKUPS!$A$1:$B$5,2, FALSE)</f>
        <v>5</v>
      </c>
      <c r="M74" t="s">
        <v>14</v>
      </c>
      <c r="N74">
        <f>VLOOKUP(O74,VLOOKUPS!$A$1:$B$5,2, FALSE)</f>
        <v>3</v>
      </c>
      <c r="O74" t="s">
        <v>16</v>
      </c>
      <c r="P74">
        <f>VLOOKUP(Q74,VLOOKUPS!$A$1:$B$5,2, FALSE)</f>
        <v>5</v>
      </c>
      <c r="Q74" t="s">
        <v>14</v>
      </c>
      <c r="R74">
        <f>VLOOKUP(S74,VLOOKUPS!$A$1:$B$5,2, FALSE)</f>
        <v>3</v>
      </c>
      <c r="S74" t="s">
        <v>16</v>
      </c>
      <c r="T74">
        <f>VLOOKUP(U74,VLOOKUPS!$A$1:$B$5,2, FALSE)</f>
        <v>3</v>
      </c>
      <c r="U74" t="s">
        <v>16</v>
      </c>
      <c r="V74">
        <f>VLOOKUP(W74,VLOOKUPS!$D$1:$E$31,2, FALSE)</f>
        <v>8</v>
      </c>
      <c r="W74" t="s">
        <v>39</v>
      </c>
      <c r="X74">
        <f>VLOOKUP(Y74,VLOOKUPS!$G$1:$H$3,2, FALSE)</f>
        <v>1</v>
      </c>
      <c r="Y74" t="s">
        <v>18</v>
      </c>
    </row>
    <row r="75" spans="1:25" x14ac:dyDescent="0.2">
      <c r="A75" t="s">
        <v>124</v>
      </c>
      <c r="B75">
        <f>VLOOKUP(C75,VLOOKUPS!$A$1:$B$5,2, FALSE)</f>
        <v>5</v>
      </c>
      <c r="C75" t="s">
        <v>14</v>
      </c>
      <c r="D75">
        <f>VLOOKUP(E75,VLOOKUPS!$A$1:$B$5,2, FALSE)</f>
        <v>5</v>
      </c>
      <c r="E75" t="s">
        <v>14</v>
      </c>
      <c r="F75">
        <f>VLOOKUP(G75,VLOOKUPS!$A$1:$B$5,2, FALSE)</f>
        <v>4</v>
      </c>
      <c r="G75" t="s">
        <v>20</v>
      </c>
      <c r="H75">
        <f>VLOOKUP(I75,VLOOKUPS!$A$1:$B$5,2, FALSE)</f>
        <v>4</v>
      </c>
      <c r="I75" t="s">
        <v>20</v>
      </c>
      <c r="J75">
        <f>VLOOKUP(K75,VLOOKUPS!$A$1:$B$5,2, FALSE)</f>
        <v>4</v>
      </c>
      <c r="K75" t="s">
        <v>20</v>
      </c>
      <c r="L75">
        <f>VLOOKUP(M75,VLOOKUPS!$A$1:$B$5,2, FALSE)</f>
        <v>5</v>
      </c>
      <c r="M75" t="s">
        <v>14</v>
      </c>
      <c r="N75">
        <f>VLOOKUP(O75,VLOOKUPS!$A$1:$B$5,2, FALSE)</f>
        <v>4</v>
      </c>
      <c r="O75" t="s">
        <v>20</v>
      </c>
      <c r="P75">
        <f>VLOOKUP(Q75,VLOOKUPS!$A$1:$B$5,2, FALSE)</f>
        <v>4</v>
      </c>
      <c r="Q75" t="s">
        <v>20</v>
      </c>
      <c r="R75">
        <f>VLOOKUP(S75,VLOOKUPS!$A$1:$B$5,2, FALSE)</f>
        <v>5</v>
      </c>
      <c r="S75" t="s">
        <v>14</v>
      </c>
      <c r="T75">
        <f>VLOOKUP(U75,VLOOKUPS!$A$1:$B$5,2, FALSE)</f>
        <v>5</v>
      </c>
      <c r="U75" t="s">
        <v>14</v>
      </c>
      <c r="V75">
        <f>VLOOKUP(W75,VLOOKUPS!$D$1:$E$31,2, FALSE)</f>
        <v>3</v>
      </c>
      <c r="W75" t="s">
        <v>28</v>
      </c>
      <c r="X75">
        <f>VLOOKUP(Y75,VLOOKUPS!$G$1:$H$3,2, FALSE)</f>
        <v>1</v>
      </c>
      <c r="Y75" t="s">
        <v>18</v>
      </c>
    </row>
    <row r="76" spans="1:25" x14ac:dyDescent="0.2">
      <c r="A76" t="s">
        <v>125</v>
      </c>
      <c r="B76">
        <f>VLOOKUP(C76,VLOOKUPS!$A$1:$B$5,2, FALSE)</f>
        <v>5</v>
      </c>
      <c r="C76" t="s">
        <v>14</v>
      </c>
      <c r="D76">
        <f>VLOOKUP(E76,VLOOKUPS!$A$1:$B$5,2, FALSE)</f>
        <v>5</v>
      </c>
      <c r="E76" t="s">
        <v>14</v>
      </c>
      <c r="F76">
        <f>VLOOKUP(G76,VLOOKUPS!$A$1:$B$5,2, FALSE)</f>
        <v>5</v>
      </c>
      <c r="G76" t="s">
        <v>14</v>
      </c>
      <c r="H76">
        <f>VLOOKUP(I76,VLOOKUPS!$A$1:$B$5,2, FALSE)</f>
        <v>5</v>
      </c>
      <c r="I76" t="s">
        <v>14</v>
      </c>
      <c r="J76">
        <f>VLOOKUP(K76,VLOOKUPS!$A$1:$B$5,2, FALSE)</f>
        <v>5</v>
      </c>
      <c r="K76" t="s">
        <v>14</v>
      </c>
      <c r="L76">
        <f>VLOOKUP(M76,VLOOKUPS!$A$1:$B$5,2, FALSE)</f>
        <v>5</v>
      </c>
      <c r="M76" t="s">
        <v>14</v>
      </c>
      <c r="N76">
        <f>VLOOKUP(O76,VLOOKUPS!$A$1:$B$5,2, FALSE)</f>
        <v>5</v>
      </c>
      <c r="O76" t="s">
        <v>14</v>
      </c>
      <c r="P76">
        <f>VLOOKUP(Q76,VLOOKUPS!$A$1:$B$5,2, FALSE)</f>
        <v>5</v>
      </c>
      <c r="Q76" t="s">
        <v>14</v>
      </c>
      <c r="R76">
        <f>VLOOKUP(S76,VLOOKUPS!$A$1:$B$5,2, FALSE)</f>
        <v>5</v>
      </c>
      <c r="S76" t="s">
        <v>14</v>
      </c>
      <c r="T76">
        <f>VLOOKUP(U76,VLOOKUPS!$A$1:$B$5,2, FALSE)</f>
        <v>5</v>
      </c>
      <c r="U76" t="s">
        <v>14</v>
      </c>
      <c r="V76">
        <f>VLOOKUP(W76,VLOOKUPS!$D$1:$E$31,2, FALSE)</f>
        <v>16</v>
      </c>
      <c r="W76" t="s">
        <v>57</v>
      </c>
      <c r="X76">
        <f>VLOOKUP(Y76,VLOOKUPS!$G$1:$H$3,2, FALSE)</f>
        <v>1</v>
      </c>
      <c r="Y76" t="s">
        <v>18</v>
      </c>
    </row>
    <row r="77" spans="1:25" x14ac:dyDescent="0.2">
      <c r="A77" t="s">
        <v>126</v>
      </c>
      <c r="B77">
        <f>VLOOKUP(C77,VLOOKUPS!$A$1:$B$5,2, FALSE)</f>
        <v>4</v>
      </c>
      <c r="C77" t="s">
        <v>20</v>
      </c>
      <c r="D77">
        <f>VLOOKUP(E77,VLOOKUPS!$A$1:$B$5,2, FALSE)</f>
        <v>4</v>
      </c>
      <c r="E77" t="s">
        <v>20</v>
      </c>
      <c r="F77">
        <f>VLOOKUP(G77,VLOOKUPS!$A$1:$B$5,2, FALSE)</f>
        <v>3</v>
      </c>
      <c r="G77" t="s">
        <v>16</v>
      </c>
      <c r="H77">
        <f>VLOOKUP(I77,VLOOKUPS!$A$1:$B$5,2, FALSE)</f>
        <v>4</v>
      </c>
      <c r="I77" t="s">
        <v>20</v>
      </c>
      <c r="J77">
        <f>VLOOKUP(K77,VLOOKUPS!$A$1:$B$5,2, FALSE)</f>
        <v>3</v>
      </c>
      <c r="K77" t="s">
        <v>16</v>
      </c>
      <c r="L77">
        <f>VLOOKUP(M77,VLOOKUPS!$A$1:$B$5,2, FALSE)</f>
        <v>3</v>
      </c>
      <c r="M77" t="s">
        <v>16</v>
      </c>
      <c r="N77">
        <f>VLOOKUP(O77,VLOOKUPS!$A$1:$B$5,2, FALSE)</f>
        <v>3</v>
      </c>
      <c r="O77" t="s">
        <v>16</v>
      </c>
      <c r="P77">
        <f>VLOOKUP(Q77,VLOOKUPS!$A$1:$B$5,2, FALSE)</f>
        <v>4</v>
      </c>
      <c r="Q77" t="s">
        <v>20</v>
      </c>
      <c r="R77">
        <f>VLOOKUP(S77,VLOOKUPS!$A$1:$B$5,2, FALSE)</f>
        <v>4</v>
      </c>
      <c r="S77" t="s">
        <v>20</v>
      </c>
      <c r="T77">
        <f>VLOOKUP(U77,VLOOKUPS!$A$1:$B$5,2, FALSE)</f>
        <v>4</v>
      </c>
      <c r="U77" t="s">
        <v>20</v>
      </c>
      <c r="V77">
        <f>VLOOKUP(W77,VLOOKUPS!$D$1:$E$31,2, FALSE)</f>
        <v>4</v>
      </c>
      <c r="W77" t="s">
        <v>30</v>
      </c>
      <c r="X77">
        <f>VLOOKUP(Y77,VLOOKUPS!$G$1:$H$3,2, FALSE)</f>
        <v>1</v>
      </c>
      <c r="Y77" t="s">
        <v>18</v>
      </c>
    </row>
    <row r="78" spans="1:25" x14ac:dyDescent="0.2">
      <c r="A78" t="s">
        <v>127</v>
      </c>
      <c r="B78">
        <f>VLOOKUP(C78,VLOOKUPS!$A$1:$B$5,2, FALSE)</f>
        <v>4</v>
      </c>
      <c r="C78" t="s">
        <v>20</v>
      </c>
      <c r="D78">
        <f>VLOOKUP(E78,VLOOKUPS!$A$1:$B$5,2, FALSE)</f>
        <v>1</v>
      </c>
      <c r="E78" t="s">
        <v>23</v>
      </c>
      <c r="F78">
        <f>VLOOKUP(G78,VLOOKUPS!$A$1:$B$5,2, FALSE)</f>
        <v>1</v>
      </c>
      <c r="G78" t="s">
        <v>23</v>
      </c>
      <c r="H78">
        <f>VLOOKUP(I78,VLOOKUPS!$A$1:$B$5,2, FALSE)</f>
        <v>3</v>
      </c>
      <c r="I78" t="s">
        <v>16</v>
      </c>
      <c r="J78">
        <f>VLOOKUP(K78,VLOOKUPS!$A$1:$B$5,2, FALSE)</f>
        <v>2</v>
      </c>
      <c r="K78" t="s">
        <v>15</v>
      </c>
      <c r="L78">
        <f>VLOOKUP(M78,VLOOKUPS!$A$1:$B$5,2, FALSE)</f>
        <v>5</v>
      </c>
      <c r="M78" t="s">
        <v>14</v>
      </c>
      <c r="N78">
        <f>VLOOKUP(O78,VLOOKUPS!$A$1:$B$5,2, FALSE)</f>
        <v>5</v>
      </c>
      <c r="O78" t="s">
        <v>14</v>
      </c>
      <c r="P78">
        <f>VLOOKUP(Q78,VLOOKUPS!$A$1:$B$5,2, FALSE)</f>
        <v>5</v>
      </c>
      <c r="Q78" t="s">
        <v>14</v>
      </c>
      <c r="R78">
        <f>VLOOKUP(S78,VLOOKUPS!$A$1:$B$5,2, FALSE)</f>
        <v>5</v>
      </c>
      <c r="S78" t="s">
        <v>14</v>
      </c>
      <c r="T78">
        <f>VLOOKUP(U78,VLOOKUPS!$A$1:$B$5,2, FALSE)</f>
        <v>5</v>
      </c>
      <c r="U78" t="s">
        <v>14</v>
      </c>
      <c r="V78">
        <f>VLOOKUP(W78,VLOOKUPS!$D$1:$E$31,2, FALSE)</f>
        <v>27</v>
      </c>
      <c r="W78" t="s">
        <v>80</v>
      </c>
      <c r="X78">
        <f>VLOOKUP(Y78,VLOOKUPS!$G$1:$H$3,2, FALSE)</f>
        <v>1</v>
      </c>
      <c r="Y78" t="s">
        <v>18</v>
      </c>
    </row>
    <row r="79" spans="1:25" x14ac:dyDescent="0.2">
      <c r="A79" t="s">
        <v>128</v>
      </c>
      <c r="B79">
        <f>VLOOKUP(C79,VLOOKUPS!$A$1:$B$5,2, FALSE)</f>
        <v>3</v>
      </c>
      <c r="C79" t="s">
        <v>16</v>
      </c>
      <c r="D79">
        <f>VLOOKUP(E79,VLOOKUPS!$A$1:$B$5,2, FALSE)</f>
        <v>2</v>
      </c>
      <c r="E79" t="s">
        <v>15</v>
      </c>
      <c r="F79">
        <f>VLOOKUP(G79,VLOOKUPS!$A$1:$B$5,2, FALSE)</f>
        <v>4</v>
      </c>
      <c r="G79" t="s">
        <v>20</v>
      </c>
      <c r="H79">
        <f>VLOOKUP(I79,VLOOKUPS!$A$1:$B$5,2, FALSE)</f>
        <v>4</v>
      </c>
      <c r="I79" t="s">
        <v>20</v>
      </c>
      <c r="J79">
        <f>VLOOKUP(K79,VLOOKUPS!$A$1:$B$5,2, FALSE)</f>
        <v>2</v>
      </c>
      <c r="K79" t="s">
        <v>15</v>
      </c>
      <c r="L79">
        <f>VLOOKUP(M79,VLOOKUPS!$A$1:$B$5,2, FALSE)</f>
        <v>3</v>
      </c>
      <c r="M79" t="s">
        <v>16</v>
      </c>
      <c r="N79">
        <f>VLOOKUP(O79,VLOOKUPS!$A$1:$B$5,2, FALSE)</f>
        <v>3</v>
      </c>
      <c r="O79" t="s">
        <v>16</v>
      </c>
      <c r="P79">
        <f>VLOOKUP(Q79,VLOOKUPS!$A$1:$B$5,2, FALSE)</f>
        <v>4</v>
      </c>
      <c r="Q79" t="s">
        <v>20</v>
      </c>
      <c r="R79">
        <f>VLOOKUP(S79,VLOOKUPS!$A$1:$B$5,2, FALSE)</f>
        <v>5</v>
      </c>
      <c r="S79" t="s">
        <v>14</v>
      </c>
      <c r="T79">
        <f>VLOOKUP(U79,VLOOKUPS!$A$1:$B$5,2, FALSE)</f>
        <v>5</v>
      </c>
      <c r="U79" t="s">
        <v>14</v>
      </c>
      <c r="V79">
        <f>VLOOKUP(W79,VLOOKUPS!$D$1:$E$31,2, FALSE)</f>
        <v>13</v>
      </c>
      <c r="W79" t="s">
        <v>50</v>
      </c>
      <c r="X79">
        <f>VLOOKUP(Y79,VLOOKUPS!$G$1:$H$3,2, FALSE)</f>
        <v>1</v>
      </c>
      <c r="Y79" t="s">
        <v>18</v>
      </c>
    </row>
    <row r="80" spans="1:25" x14ac:dyDescent="0.2">
      <c r="B80">
        <f>AVERAGE(B2:B79)</f>
        <v>3.8461538461538463</v>
      </c>
      <c r="D80">
        <f t="shared" ref="D80" si="0">AVERAGE(D2:D79)</f>
        <v>3.2435897435897436</v>
      </c>
      <c r="F80">
        <f t="shared" ref="F80" si="1">AVERAGE(F2:F79)</f>
        <v>3.4358974358974357</v>
      </c>
      <c r="H80">
        <f t="shared" ref="H80" si="2">AVERAGE(H2:H79)</f>
        <v>3.4743589743589745</v>
      </c>
      <c r="J80">
        <f t="shared" ref="J80" si="3">AVERAGE(J2:J79)</f>
        <v>3.0769230769230771</v>
      </c>
      <c r="L80">
        <f t="shared" ref="L80" si="4">AVERAGE(L2:L79)</f>
        <v>3.2692307692307692</v>
      </c>
      <c r="N80">
        <f t="shared" ref="N80" si="5">AVERAGE(N2:N79)</f>
        <v>3.5384615384615383</v>
      </c>
      <c r="P80">
        <f t="shared" ref="P80" si="6">AVERAGE(P2:P79)</f>
        <v>4.1794871794871797</v>
      </c>
      <c r="R80">
        <f t="shared" ref="R80" si="7">AVERAGE(R2:R79)</f>
        <v>4.384615384615385</v>
      </c>
      <c r="T80">
        <f t="shared" ref="T80" si="8">AVERAGE(T2:T79)</f>
        <v>4.1923076923076925</v>
      </c>
    </row>
  </sheetData>
  <pageMargins left="0.75" right="0.75" top="1" bottom="1" header="0.5" footer="0.5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31"/>
  <sheetViews>
    <sheetView tabSelected="1" workbookViewId="0">
      <selection activeCell="G23" sqref="G23"/>
    </sheetView>
  </sheetViews>
  <sheetFormatPr baseColWidth="10" defaultRowHeight="16" x14ac:dyDescent="0.2"/>
  <cols>
    <col min="1" max="1" width="15.5" bestFit="1" customWidth="1"/>
    <col min="5" max="5" width="52.33203125" customWidth="1"/>
  </cols>
  <sheetData>
    <row r="1" spans="1:8" x14ac:dyDescent="0.2">
      <c r="A1" t="s">
        <v>14</v>
      </c>
      <c r="B1">
        <v>5</v>
      </c>
      <c r="D1" t="s">
        <v>21</v>
      </c>
      <c r="E1" s="1">
        <f>ROW()-1</f>
        <v>0</v>
      </c>
      <c r="G1" t="s">
        <v>17</v>
      </c>
      <c r="H1">
        <f>ROW()-1</f>
        <v>0</v>
      </c>
    </row>
    <row r="2" spans="1:8" x14ac:dyDescent="0.2">
      <c r="A2" t="s">
        <v>20</v>
      </c>
      <c r="B2">
        <v>4</v>
      </c>
      <c r="D2" t="s">
        <v>24</v>
      </c>
      <c r="E2" s="1">
        <f t="shared" ref="E2:E31" si="0">ROW()-1</f>
        <v>1</v>
      </c>
      <c r="G2" t="s">
        <v>18</v>
      </c>
      <c r="H2">
        <f t="shared" ref="H2:H3" si="1">ROW()-1</f>
        <v>1</v>
      </c>
    </row>
    <row r="3" spans="1:8" x14ac:dyDescent="0.2">
      <c r="A3" t="s">
        <v>16</v>
      </c>
      <c r="B3">
        <v>3</v>
      </c>
      <c r="D3" t="s">
        <v>26</v>
      </c>
      <c r="E3" s="1">
        <f t="shared" si="0"/>
        <v>2</v>
      </c>
      <c r="G3" t="s">
        <v>13</v>
      </c>
      <c r="H3">
        <f t="shared" si="1"/>
        <v>2</v>
      </c>
    </row>
    <row r="4" spans="1:8" x14ac:dyDescent="0.2">
      <c r="A4" t="s">
        <v>15</v>
      </c>
      <c r="B4">
        <v>2</v>
      </c>
      <c r="D4" t="s">
        <v>28</v>
      </c>
      <c r="E4" s="1">
        <f t="shared" si="0"/>
        <v>3</v>
      </c>
    </row>
    <row r="5" spans="1:8" x14ac:dyDescent="0.2">
      <c r="A5" t="s">
        <v>23</v>
      </c>
      <c r="B5">
        <v>1</v>
      </c>
      <c r="D5" t="s">
        <v>30</v>
      </c>
      <c r="E5" s="1">
        <f t="shared" si="0"/>
        <v>4</v>
      </c>
    </row>
    <row r="6" spans="1:8" x14ac:dyDescent="0.2">
      <c r="D6" t="s">
        <v>33</v>
      </c>
      <c r="E6" s="1">
        <f t="shared" si="0"/>
        <v>5</v>
      </c>
    </row>
    <row r="7" spans="1:8" x14ac:dyDescent="0.2">
      <c r="D7" t="s">
        <v>35</v>
      </c>
      <c r="E7" s="1">
        <f t="shared" si="0"/>
        <v>6</v>
      </c>
    </row>
    <row r="8" spans="1:8" x14ac:dyDescent="0.2">
      <c r="D8" t="s">
        <v>37</v>
      </c>
      <c r="E8" s="1">
        <f t="shared" si="0"/>
        <v>7</v>
      </c>
    </row>
    <row r="9" spans="1:8" x14ac:dyDescent="0.2">
      <c r="D9" t="s">
        <v>39</v>
      </c>
      <c r="E9" s="1">
        <f t="shared" si="0"/>
        <v>8</v>
      </c>
    </row>
    <row r="10" spans="1:8" x14ac:dyDescent="0.2">
      <c r="D10" t="s">
        <v>42</v>
      </c>
      <c r="E10" s="1">
        <f t="shared" si="0"/>
        <v>9</v>
      </c>
    </row>
    <row r="11" spans="1:8" x14ac:dyDescent="0.2">
      <c r="D11" t="s">
        <v>44</v>
      </c>
      <c r="E11" s="1">
        <f t="shared" si="0"/>
        <v>10</v>
      </c>
    </row>
    <row r="12" spans="1:8" x14ac:dyDescent="0.2">
      <c r="D12" t="s">
        <v>46</v>
      </c>
      <c r="E12" s="1">
        <f t="shared" si="0"/>
        <v>11</v>
      </c>
    </row>
    <row r="13" spans="1:8" x14ac:dyDescent="0.2">
      <c r="D13" t="s">
        <v>48</v>
      </c>
      <c r="E13" s="1">
        <f t="shared" si="0"/>
        <v>12</v>
      </c>
    </row>
    <row r="14" spans="1:8" x14ac:dyDescent="0.2">
      <c r="D14" t="s">
        <v>50</v>
      </c>
      <c r="E14" s="1">
        <f t="shared" si="0"/>
        <v>13</v>
      </c>
    </row>
    <row r="15" spans="1:8" x14ac:dyDescent="0.2">
      <c r="D15" t="s">
        <v>53</v>
      </c>
      <c r="E15" s="1">
        <f t="shared" si="0"/>
        <v>14</v>
      </c>
    </row>
    <row r="16" spans="1:8" x14ac:dyDescent="0.2">
      <c r="D16" t="s">
        <v>55</v>
      </c>
      <c r="E16" s="1">
        <f t="shared" si="0"/>
        <v>15</v>
      </c>
    </row>
    <row r="17" spans="4:5" x14ac:dyDescent="0.2">
      <c r="D17" t="s">
        <v>57</v>
      </c>
      <c r="E17" s="1">
        <f t="shared" si="0"/>
        <v>16</v>
      </c>
    </row>
    <row r="18" spans="4:5" x14ac:dyDescent="0.2">
      <c r="D18" t="s">
        <v>59</v>
      </c>
      <c r="E18" s="1">
        <f t="shared" si="0"/>
        <v>17</v>
      </c>
    </row>
    <row r="19" spans="4:5" x14ac:dyDescent="0.2">
      <c r="D19" t="s">
        <v>61</v>
      </c>
      <c r="E19" s="1">
        <f t="shared" si="0"/>
        <v>18</v>
      </c>
    </row>
    <row r="20" spans="4:5" x14ac:dyDescent="0.2">
      <c r="D20" t="s">
        <v>63</v>
      </c>
      <c r="E20" s="1">
        <f t="shared" si="0"/>
        <v>19</v>
      </c>
    </row>
    <row r="21" spans="4:5" x14ac:dyDescent="0.2">
      <c r="D21" t="s">
        <v>66</v>
      </c>
      <c r="E21" s="1">
        <f t="shared" si="0"/>
        <v>20</v>
      </c>
    </row>
    <row r="22" spans="4:5" x14ac:dyDescent="0.2">
      <c r="D22" t="s">
        <v>68</v>
      </c>
      <c r="E22" s="1">
        <f t="shared" si="0"/>
        <v>21</v>
      </c>
    </row>
    <row r="23" spans="4:5" x14ac:dyDescent="0.2">
      <c r="D23" t="s">
        <v>70</v>
      </c>
      <c r="E23" s="1">
        <f t="shared" si="0"/>
        <v>22</v>
      </c>
    </row>
    <row r="24" spans="4:5" x14ac:dyDescent="0.2">
      <c r="D24" t="s">
        <v>72</v>
      </c>
      <c r="E24" s="1">
        <f t="shared" si="0"/>
        <v>23</v>
      </c>
    </row>
    <row r="25" spans="4:5" x14ac:dyDescent="0.2">
      <c r="D25" t="s">
        <v>74</v>
      </c>
      <c r="E25" s="1">
        <f t="shared" si="0"/>
        <v>24</v>
      </c>
    </row>
    <row r="26" spans="4:5" x14ac:dyDescent="0.2">
      <c r="D26" t="s">
        <v>76</v>
      </c>
      <c r="E26" s="1">
        <f t="shared" si="0"/>
        <v>25</v>
      </c>
    </row>
    <row r="27" spans="4:5" x14ac:dyDescent="0.2">
      <c r="D27" t="s">
        <v>78</v>
      </c>
      <c r="E27" s="1">
        <f t="shared" si="0"/>
        <v>26</v>
      </c>
    </row>
    <row r="28" spans="4:5" x14ac:dyDescent="0.2">
      <c r="D28" t="s">
        <v>80</v>
      </c>
      <c r="E28" s="1">
        <f t="shared" si="0"/>
        <v>27</v>
      </c>
    </row>
    <row r="29" spans="4:5" x14ac:dyDescent="0.2">
      <c r="D29" t="s">
        <v>85</v>
      </c>
      <c r="E29" s="1">
        <f t="shared" si="0"/>
        <v>28</v>
      </c>
    </row>
    <row r="30" spans="4:5" x14ac:dyDescent="0.2">
      <c r="D30" t="s">
        <v>88</v>
      </c>
      <c r="E30" s="1">
        <f t="shared" si="0"/>
        <v>29</v>
      </c>
    </row>
    <row r="31" spans="4:5" x14ac:dyDescent="0.2">
      <c r="D31" t="s">
        <v>93</v>
      </c>
      <c r="E31" s="1">
        <f t="shared" si="0"/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Creative Coding Challenges</vt:lpstr>
      <vt:lpstr>VLOOKUPS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Alex Elton-Pym</cp:lastModifiedBy>
  <dcterms:modified xsi:type="dcterms:W3CDTF">2018-09-19T23:00:00Z</dcterms:modified>
</cp:coreProperties>
</file>